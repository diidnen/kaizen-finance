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mao\Downloads\"/>
    </mc:Choice>
  </mc:AlternateContent>
  <xr:revisionPtr revIDLastSave="0" documentId="13_ncr:1_{58AE9C44-7E97-40FB-9900-7EEC834C0CE8}" xr6:coauthVersionLast="47" xr6:coauthVersionMax="47" xr10:uidLastSave="{00000000-0000-0000-0000-000000000000}"/>
  <bookViews>
    <workbookView xWindow="-103" yWindow="-103" windowWidth="22149" windowHeight="11829" xr2:uid="{04CCAD33-C264-46DB-A642-7D7B901BD6B7}"/>
  </bookViews>
  <sheets>
    <sheet name="Invoice" sheetId="2" r:id="rId1"/>
    <sheet name="Statement" sheetId="1" r:id="rId2"/>
  </sheets>
  <externalReferences>
    <externalReference r:id="rId3"/>
    <externalReference r:id="rId4"/>
  </externalReferences>
  <definedNames>
    <definedName name="_xlnm._FilterDatabase" localSheetId="1" hidden="1">Statement!$A$18:$K$64</definedName>
    <definedName name="ColumnTitle1" localSheetId="0">Invoice!$B$18</definedName>
    <definedName name="ColumnTitle1" localSheetId="1">Statement!$D$18</definedName>
    <definedName name="ColumnTitleRegion1..B11.1" localSheetId="0">Invoice!$B$9</definedName>
    <definedName name="ColumnTitleRegion1..B11.1" localSheetId="1">Statement!$D$9</definedName>
    <definedName name="Company_Name" localSheetId="0">Invoice!$C$2</definedName>
    <definedName name="Company_Name" localSheetId="1">Statement!$E$2</definedName>
    <definedName name="Company_Name">'[1]Temp-Inv'!$C$2</definedName>
    <definedName name="_xlnm.Print_Titles" localSheetId="0">Invoice!$18:$18</definedName>
    <definedName name="_xlnm.Print_Titles" localSheetId="1">Statement!$18:$18</definedName>
    <definedName name="RowTitleRegion1..E5" localSheetId="0">Invoice!$E$7</definedName>
    <definedName name="RowTitleRegion1..E5" localSheetId="1">Statement!$H$7</definedName>
    <definedName name="SheetListName">'[2]Tab Name'!$E$1:$E$9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" i="2" l="1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45" i="2" s="1"/>
  <c r="F20" i="2"/>
  <c r="F19" i="2"/>
  <c r="E59" i="1"/>
  <c r="H53" i="1"/>
  <c r="H52" i="1"/>
  <c r="H54" i="1" s="1"/>
  <c r="H50" i="1"/>
  <c r="H49" i="1"/>
  <c r="H48" i="1"/>
  <c r="H46" i="1"/>
  <c r="J45" i="1"/>
  <c r="H45" i="1"/>
  <c r="J44" i="1"/>
  <c r="H44" i="1"/>
  <c r="J43" i="1"/>
  <c r="H43" i="1"/>
  <c r="J42" i="1"/>
  <c r="H42" i="1"/>
  <c r="J41" i="1"/>
  <c r="H41" i="1"/>
  <c r="J40" i="1"/>
  <c r="H40" i="1"/>
  <c r="J39" i="1"/>
  <c r="H39" i="1"/>
  <c r="J38" i="1"/>
  <c r="H38" i="1"/>
  <c r="J37" i="1"/>
  <c r="H37" i="1"/>
  <c r="J36" i="1"/>
  <c r="H36" i="1"/>
  <c r="J35" i="1"/>
  <c r="H35" i="1"/>
  <c r="J34" i="1"/>
  <c r="H34" i="1"/>
  <c r="J33" i="1"/>
  <c r="H33" i="1"/>
  <c r="J32" i="1"/>
  <c r="H32" i="1"/>
  <c r="J31" i="1"/>
  <c r="H31" i="1"/>
  <c r="J30" i="1"/>
  <c r="H30" i="1"/>
  <c r="J29" i="1"/>
  <c r="H29" i="1"/>
  <c r="J28" i="1"/>
  <c r="H28" i="1"/>
  <c r="J27" i="1"/>
  <c r="H27" i="1"/>
  <c r="J26" i="1"/>
  <c r="J25" i="1"/>
  <c r="J24" i="1"/>
  <c r="J23" i="1"/>
  <c r="J22" i="1"/>
  <c r="J21" i="1"/>
  <c r="I20" i="1"/>
  <c r="J20" i="1" s="1"/>
  <c r="J19" i="1"/>
  <c r="H19" i="1"/>
  <c r="H20" i="1" s="1"/>
  <c r="H21" i="1" s="1"/>
  <c r="H22" i="1" s="1"/>
  <c r="H23" i="1" s="1"/>
  <c r="H24" i="1" s="1"/>
  <c r="H25" i="1" s="1"/>
  <c r="H26" i="1" s="1"/>
  <c r="F47" i="2" l="1"/>
  <c r="F49" i="2" s="1"/>
</calcChain>
</file>

<file path=xl/sharedStrings.xml><?xml version="1.0" encoding="utf-8"?>
<sst xmlns="http://schemas.openxmlformats.org/spreadsheetml/2006/main" count="64" uniqueCount="39">
  <si>
    <t>STATEMENT</t>
  </si>
  <si>
    <t>Kaizen Finance Solution Ltd</t>
  </si>
  <si>
    <t>4 Terrace Road</t>
  </si>
  <si>
    <t>London</t>
  </si>
  <si>
    <t>E13 0PB</t>
  </si>
  <si>
    <t>DATE:</t>
  </si>
  <si>
    <t>STATEMENT:</t>
  </si>
  <si>
    <t>EAT001/S001</t>
  </si>
  <si>
    <t>BILL TO:</t>
  </si>
  <si>
    <t>Date</t>
  </si>
  <si>
    <t>DESCRIPTION</t>
  </si>
  <si>
    <t>AMOUNT</t>
  </si>
  <si>
    <t>ACCUMULATED AMOUNT</t>
  </si>
  <si>
    <t>ALLOCATE</t>
  </si>
  <si>
    <t>O/S</t>
  </si>
  <si>
    <t>Payment</t>
  </si>
  <si>
    <t>Invoice - 140</t>
  </si>
  <si>
    <t>TOTAL</t>
  </si>
  <si>
    <t>Invoice</t>
  </si>
  <si>
    <t>Bank Details</t>
  </si>
  <si>
    <t>Starling Bank</t>
  </si>
  <si>
    <t>Sort Code: 60-83-71, Account: 15971592</t>
  </si>
  <si>
    <t>Total due in 14 days. Overdue accounts subject to a service charge of 1% per month.</t>
  </si>
  <si>
    <t xml:space="preserve">THANK YOU FOR YOUR BUSINESS! </t>
  </si>
  <si>
    <t>INVOICE</t>
  </si>
  <si>
    <t>INVOICE #</t>
  </si>
  <si>
    <t>EAS001/160</t>
  </si>
  <si>
    <t>FOR:</t>
  </si>
  <si>
    <t>Account Service</t>
  </si>
  <si>
    <t>QTY</t>
  </si>
  <si>
    <t>RATE</t>
  </si>
  <si>
    <t>Annual account fee - Account Feb 2025</t>
  </si>
  <si>
    <t>SUBTOTAL</t>
  </si>
  <si>
    <t>VAT Rate%</t>
  </si>
  <si>
    <t>VAT Amount</t>
  </si>
  <si>
    <t>OTHER</t>
  </si>
  <si>
    <t>Client Name</t>
  </si>
  <si>
    <t>Client Company Name</t>
  </si>
  <si>
    <t>Client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</si>
</sst>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£&quot;#,##0.00;[Red]\-&quot;£&quot;#,##0.00"/>
    <numFmt numFmtId="164" formatCode="[$-409]mmmm\ d\,\ yyyy;@"/>
    <numFmt numFmtId="165" formatCode="[$-F800]dddd\,\ mmmm\ dd\,\ yyyy"/>
    <numFmt numFmtId="166" formatCode="[&lt;=9999999]###\-####;\(###\)\ ###\-####"/>
    <numFmt numFmtId="167" formatCode="#,##0.00_ ;[Red]\-#,##0.00\ "/>
    <numFmt numFmtId="168" formatCode="_(&quot;$&quot;* #,##0.00_);_(&quot;$&quot;* \(#,##0.00\);_(&quot;$&quot;* &quot;-&quot;??_);_(@_)"/>
    <numFmt numFmtId="170" formatCode="&quot;$&quot;#,##0.00"/>
  </numFmts>
  <fonts count="13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b/>
      <sz val="18"/>
      <color theme="1" tint="0.2499465926084170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b/>
      <sz val="11"/>
      <name val="Arial"/>
      <family val="2"/>
      <scheme val="minor"/>
    </font>
    <font>
      <sz val="12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rgb="FF3F3F3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theme="0" tint="-0.14999847407452621"/>
      </patternFill>
    </fill>
    <fill>
      <patternFill patternType="solid">
        <fgColor theme="0" tint="-0.14996795556505021"/>
        <bgColor indexed="64"/>
      </patternFill>
    </fill>
  </fills>
  <borders count="2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5">
    <xf numFmtId="0" fontId="0" fillId="0" borderId="0">
      <alignment horizontal="left" vertical="center" wrapText="1"/>
    </xf>
    <xf numFmtId="2" fontId="4" fillId="0" borderId="0" applyFont="0" applyFill="0" applyBorder="0" applyProtection="0">
      <alignment horizontal="right" vertical="center"/>
    </xf>
    <xf numFmtId="168" fontId="4" fillId="0" borderId="0" applyFont="0" applyFill="0" applyBorder="0" applyProtection="0">
      <alignment horizontal="right" vertical="center"/>
    </xf>
    <xf numFmtId="10" fontId="4" fillId="0" borderId="0" applyFont="0" applyFill="0" applyBorder="0" applyProtection="0">
      <alignment horizontal="right" vertical="center"/>
    </xf>
    <xf numFmtId="0" fontId="5" fillId="0" borderId="0" applyNumberFormat="0" applyFill="0" applyBorder="0" applyProtection="0">
      <alignment horizontal="right"/>
    </xf>
    <xf numFmtId="0" fontId="6" fillId="0" borderId="0" applyNumberFormat="0" applyFill="0" applyProtection="0">
      <alignment horizontal="left" wrapText="1"/>
    </xf>
    <xf numFmtId="0" fontId="7" fillId="0" borderId="0" applyNumberFormat="0" applyFill="0" applyProtection="0">
      <alignment horizontal="left" vertical="top" wrapText="1"/>
    </xf>
    <xf numFmtId="0" fontId="8" fillId="0" borderId="0" applyNumberFormat="0" applyFill="0" applyProtection="0">
      <alignment horizontal="left"/>
    </xf>
    <xf numFmtId="0" fontId="4" fillId="0" borderId="0" applyNumberFormat="0" applyFont="0" applyFill="0" applyBorder="0" applyProtection="0">
      <alignment horizontal="center" vertical="center"/>
    </xf>
    <xf numFmtId="0" fontId="8" fillId="0" borderId="0" applyNumberFormat="0" applyFill="0" applyBorder="0" applyProtection="0">
      <alignment horizontal="center"/>
    </xf>
    <xf numFmtId="164" fontId="4" fillId="0" borderId="0" applyFont="0" applyFill="0" applyBorder="0">
      <alignment horizontal="left"/>
    </xf>
    <xf numFmtId="166" fontId="4" fillId="0" borderId="0" applyFont="0" applyFill="0" applyBorder="0">
      <alignment horizontal="left" vertical="top"/>
    </xf>
    <xf numFmtId="0" fontId="4" fillId="0" borderId="0" applyNumberFormat="0" applyFont="0" applyFill="0" applyBorder="0">
      <alignment horizontal="left" vertical="top" wrapText="1"/>
    </xf>
    <xf numFmtId="0" fontId="4" fillId="0" borderId="0" applyNumberFormat="0" applyFont="0" applyFill="0" applyBorder="0" applyProtection="0">
      <alignment horizontal="right" vertical="center" indent="1"/>
    </xf>
    <xf numFmtId="170" fontId="4" fillId="0" borderId="0" applyFont="0" applyFill="0" applyBorder="0" applyProtection="0">
      <alignment horizontal="right" vertical="center"/>
    </xf>
  </cellStyleXfs>
  <cellXfs count="77">
    <xf numFmtId="0" fontId="0" fillId="0" borderId="0" xfId="0">
      <alignment horizontal="left" vertical="center" wrapText="1"/>
    </xf>
    <xf numFmtId="0" fontId="0" fillId="0" borderId="0" xfId="0" applyAlignment="1">
      <alignment vertical="top"/>
    </xf>
    <xf numFmtId="0" fontId="5" fillId="0" borderId="0" xfId="4" applyAlignment="1">
      <alignment vertical="top"/>
    </xf>
    <xf numFmtId="0" fontId="6" fillId="0" borderId="0" xfId="5" applyAlignment="1">
      <alignment horizontal="center" vertical="top"/>
    </xf>
    <xf numFmtId="0" fontId="7" fillId="0" borderId="0" xfId="6" applyAlignment="1">
      <alignment vertical="top"/>
    </xf>
    <xf numFmtId="0" fontId="0" fillId="0" borderId="0" xfId="0" applyAlignment="1">
      <alignment horizontal="center" vertical="top"/>
    </xf>
    <xf numFmtId="0" fontId="8" fillId="0" borderId="0" xfId="7" applyAlignment="1">
      <alignment vertical="top"/>
    </xf>
    <xf numFmtId="164" fontId="0" fillId="0" borderId="0" xfId="10" applyFont="1" applyAlignment="1">
      <alignment vertical="top"/>
    </xf>
    <xf numFmtId="165" fontId="0" fillId="0" borderId="0" xfId="10" applyNumberFormat="1" applyFont="1" applyAlignment="1">
      <alignment vertical="top"/>
    </xf>
    <xf numFmtId="166" fontId="0" fillId="0" borderId="0" xfId="11" applyFont="1" applyAlignment="1">
      <alignment vertical="top"/>
    </xf>
    <xf numFmtId="0" fontId="8" fillId="0" borderId="0" xfId="12" applyFont="1" applyAlignment="1">
      <alignment vertical="top"/>
    </xf>
    <xf numFmtId="0" fontId="0" fillId="0" borderId="0" xfId="12" applyFont="1" applyAlignment="1">
      <alignment vertical="top"/>
    </xf>
    <xf numFmtId="0" fontId="0" fillId="0" borderId="0" xfId="0" applyAlignment="1" applyProtection="1">
      <alignment horizontal="left" vertical="top"/>
      <protection hidden="1"/>
    </xf>
    <xf numFmtId="0" fontId="0" fillId="0" borderId="0" xfId="0" applyAlignment="1" applyProtection="1">
      <alignment horizontal="left" vertical="top" wrapText="1"/>
      <protection hidden="1"/>
    </xf>
    <xf numFmtId="167" fontId="0" fillId="0" borderId="0" xfId="0" applyNumberFormat="1" applyAlignment="1">
      <alignment vertical="top"/>
    </xf>
    <xf numFmtId="0" fontId="9" fillId="0" borderId="0" xfId="0" applyFont="1" applyAlignment="1">
      <alignment vertical="top"/>
    </xf>
    <xf numFmtId="0" fontId="10" fillId="2" borderId="2" xfId="8" applyFont="1" applyFill="1" applyBorder="1" applyAlignment="1">
      <alignment vertical="top"/>
    </xf>
    <xf numFmtId="0" fontId="10" fillId="2" borderId="3" xfId="8" applyFont="1" applyFill="1" applyBorder="1" applyAlignment="1">
      <alignment vertical="top"/>
    </xf>
    <xf numFmtId="0" fontId="10" fillId="2" borderId="4" xfId="8" applyFont="1" applyFill="1" applyBorder="1" applyAlignment="1">
      <alignment vertical="top"/>
    </xf>
    <xf numFmtId="0" fontId="10" fillId="2" borderId="5" xfId="8" applyFont="1" applyFill="1" applyBorder="1" applyAlignment="1">
      <alignment vertical="top"/>
    </xf>
    <xf numFmtId="167" fontId="10" fillId="2" borderId="6" xfId="8" applyNumberFormat="1" applyFont="1" applyFill="1" applyBorder="1" applyAlignment="1">
      <alignment vertical="top"/>
    </xf>
    <xf numFmtId="167" fontId="10" fillId="2" borderId="7" xfId="8" applyNumberFormat="1" applyFont="1" applyFill="1" applyBorder="1" applyAlignment="1">
      <alignment vertical="top" wrapText="1"/>
    </xf>
    <xf numFmtId="167" fontId="10" fillId="2" borderId="4" xfId="8" applyNumberFormat="1" applyFont="1" applyFill="1" applyBorder="1" applyAlignment="1">
      <alignment vertical="top"/>
    </xf>
    <xf numFmtId="167" fontId="10" fillId="2" borderId="2" xfId="8" applyNumberFormat="1" applyFont="1" applyFill="1" applyBorder="1" applyAlignment="1">
      <alignment vertical="top"/>
    </xf>
    <xf numFmtId="14" fontId="10" fillId="0" borderId="8" xfId="0" applyNumberFormat="1" applyFont="1" applyBorder="1" applyAlignment="1">
      <alignment vertical="top"/>
    </xf>
    <xf numFmtId="14" fontId="10" fillId="0" borderId="0" xfId="0" applyNumberFormat="1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167" fontId="10" fillId="0" borderId="9" xfId="1" applyNumberFormat="1" applyFont="1" applyFill="1" applyBorder="1" applyAlignment="1">
      <alignment vertical="top"/>
    </xf>
    <xf numFmtId="167" fontId="10" fillId="3" borderId="10" xfId="2" applyNumberFormat="1" applyFont="1" applyFill="1" applyBorder="1" applyAlignment="1">
      <alignment vertical="top"/>
    </xf>
    <xf numFmtId="167" fontId="10" fillId="0" borderId="8" xfId="1" applyNumberFormat="1" applyFont="1" applyFill="1" applyBorder="1" applyAlignment="1">
      <alignment vertical="top"/>
    </xf>
    <xf numFmtId="0" fontId="9" fillId="0" borderId="11" xfId="0" applyFont="1" applyBorder="1" applyAlignment="1">
      <alignment vertical="top"/>
    </xf>
    <xf numFmtId="167" fontId="10" fillId="4" borderId="10" xfId="2" applyNumberFormat="1" applyFont="1" applyFill="1" applyBorder="1" applyAlignment="1">
      <alignment vertical="top"/>
    </xf>
    <xf numFmtId="167" fontId="9" fillId="0" borderId="0" xfId="0" applyNumberFormat="1" applyFont="1" applyAlignment="1">
      <alignment vertical="top"/>
    </xf>
    <xf numFmtId="14" fontId="10" fillId="0" borderId="11" xfId="0" applyNumberFormat="1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10" fillId="0" borderId="12" xfId="0" applyFont="1" applyBorder="1" applyAlignment="1">
      <alignment vertical="top"/>
    </xf>
    <xf numFmtId="0" fontId="10" fillId="0" borderId="13" xfId="0" applyFont="1" applyBorder="1" applyAlignment="1">
      <alignment vertical="top"/>
    </xf>
    <xf numFmtId="0" fontId="10" fillId="0" borderId="14" xfId="0" applyFont="1" applyBorder="1" applyAlignment="1">
      <alignment vertical="top"/>
    </xf>
    <xf numFmtId="167" fontId="10" fillId="0" borderId="15" xfId="1" applyNumberFormat="1" applyFont="1" applyFill="1" applyBorder="1" applyAlignment="1">
      <alignment vertical="top"/>
    </xf>
    <xf numFmtId="167" fontId="10" fillId="0" borderId="16" xfId="1" applyNumberFormat="1" applyFont="1" applyFill="1" applyBorder="1" applyAlignment="1">
      <alignment vertical="top"/>
    </xf>
    <xf numFmtId="167" fontId="10" fillId="0" borderId="12" xfId="1" applyNumberFormat="1" applyFont="1" applyFill="1" applyBorder="1" applyAlignment="1">
      <alignment vertical="top"/>
    </xf>
    <xf numFmtId="0" fontId="10" fillId="0" borderId="17" xfId="0" applyFont="1" applyBorder="1" applyAlignment="1">
      <alignment vertical="top"/>
    </xf>
    <xf numFmtId="0" fontId="11" fillId="0" borderId="0" xfId="13" applyFont="1" applyAlignment="1">
      <alignment vertical="top"/>
    </xf>
    <xf numFmtId="8" fontId="10" fillId="4" borderId="2" xfId="2" applyNumberFormat="1" applyFont="1" applyFill="1" applyBorder="1" applyAlignment="1">
      <alignment vertical="top"/>
    </xf>
    <xf numFmtId="0" fontId="9" fillId="0" borderId="0" xfId="13" applyFont="1" applyAlignment="1">
      <alignment vertical="top"/>
    </xf>
    <xf numFmtId="8" fontId="9" fillId="0" borderId="18" xfId="3" applyNumberFormat="1" applyFont="1" applyBorder="1" applyAlignment="1">
      <alignment vertical="top"/>
    </xf>
    <xf numFmtId="8" fontId="9" fillId="0" borderId="18" xfId="2" applyNumberFormat="1" applyFont="1" applyBorder="1" applyAlignment="1">
      <alignment vertical="top"/>
    </xf>
    <xf numFmtId="8" fontId="12" fillId="4" borderId="1" xfId="2" applyNumberFormat="1" applyFont="1" applyFill="1" applyBorder="1" applyAlignment="1">
      <alignment vertical="top"/>
    </xf>
    <xf numFmtId="0" fontId="8" fillId="0" borderId="0" xfId="9" applyAlignment="1">
      <alignment vertical="top"/>
    </xf>
    <xf numFmtId="0" fontId="8" fillId="0" borderId="0" xfId="9" applyAlignment="1">
      <alignment horizontal="center" vertical="top"/>
    </xf>
    <xf numFmtId="0" fontId="1" fillId="2" borderId="19" xfId="8" applyFont="1" applyFill="1" applyBorder="1" applyAlignment="1">
      <alignment vertical="top"/>
    </xf>
    <xf numFmtId="0" fontId="1" fillId="2" borderId="20" xfId="8" applyFont="1" applyFill="1" applyBorder="1" applyAlignment="1">
      <alignment vertical="top"/>
    </xf>
    <xf numFmtId="0" fontId="1" fillId="2" borderId="21" xfId="8" applyFont="1" applyFill="1" applyBorder="1" applyAlignment="1">
      <alignment vertical="top"/>
    </xf>
    <xf numFmtId="0" fontId="1" fillId="0" borderId="1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2" fontId="1" fillId="0" borderId="19" xfId="1" applyFont="1" applyFill="1" applyBorder="1" applyAlignment="1">
      <alignment vertical="top"/>
    </xf>
    <xf numFmtId="8" fontId="1" fillId="0" borderId="19" xfId="14" applyNumberFormat="1" applyFont="1" applyFill="1" applyBorder="1" applyAlignment="1">
      <alignment vertical="top"/>
    </xf>
    <xf numFmtId="8" fontId="1" fillId="3" borderId="21" xfId="2" applyNumberFormat="1" applyFont="1" applyFill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2" fontId="1" fillId="0" borderId="9" xfId="1" applyFont="1" applyFill="1" applyBorder="1" applyAlignment="1">
      <alignment vertical="top"/>
    </xf>
    <xf numFmtId="8" fontId="1" fillId="0" borderId="9" xfId="14" applyNumberFormat="1" applyFont="1" applyFill="1" applyBorder="1" applyAlignment="1">
      <alignment vertical="top"/>
    </xf>
    <xf numFmtId="8" fontId="1" fillId="4" borderId="10" xfId="2" applyNumberFormat="1" applyFont="1" applyFill="1" applyBorder="1" applyAlignment="1">
      <alignment vertical="top"/>
    </xf>
    <xf numFmtId="8" fontId="1" fillId="3" borderId="10" xfId="2" applyNumberFormat="1" applyFont="1" applyFill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8" fontId="1" fillId="4" borderId="2" xfId="2" applyNumberFormat="1" applyFont="1" applyFill="1" applyBorder="1" applyAlignment="1">
      <alignment vertical="top"/>
    </xf>
    <xf numFmtId="0" fontId="0" fillId="0" borderId="0" xfId="13" applyFont="1" applyAlignment="1">
      <alignment vertical="top"/>
    </xf>
    <xf numFmtId="8" fontId="4" fillId="0" borderId="18" xfId="3" applyNumberFormat="1" applyBorder="1" applyAlignment="1">
      <alignment vertical="top"/>
    </xf>
    <xf numFmtId="8" fontId="2" fillId="4" borderId="1" xfId="2" applyNumberFormat="1" applyFont="1" applyFill="1" applyBorder="1" applyAlignment="1">
      <alignment vertical="top"/>
    </xf>
    <xf numFmtId="8" fontId="4" fillId="0" borderId="18" xfId="2" applyNumberFormat="1" applyBorder="1" applyAlignment="1">
      <alignment vertical="top"/>
    </xf>
    <xf numFmtId="0" fontId="8" fillId="0" borderId="0" xfId="0" applyFont="1" applyAlignment="1">
      <alignment vertical="top"/>
    </xf>
    <xf numFmtId="0" fontId="3" fillId="0" borderId="0" xfId="13" applyFont="1" applyAlignment="1">
      <alignment vertical="top"/>
    </xf>
    <xf numFmtId="0" fontId="8" fillId="0" borderId="0" xfId="0" applyFont="1" applyAlignment="1">
      <alignment horizontal="right" vertical="top"/>
    </xf>
    <xf numFmtId="8" fontId="8" fillId="0" borderId="0" xfId="0" applyNumberFormat="1" applyFont="1" applyAlignment="1">
      <alignment vertical="top"/>
    </xf>
  </cellXfs>
  <cellStyles count="15">
    <cellStyle name="Comma" xfId="1" builtinId="3"/>
    <cellStyle name="Currency [0]" xfId="2" builtinId="7"/>
    <cellStyle name="Currency 2" xfId="14" xr:uid="{0B2C6754-DFC5-456E-8F4C-22484F7A064B}"/>
    <cellStyle name="Date" xfId="10" xr:uid="{7B839756-3E6F-4DA0-960F-042AD33A525E}"/>
    <cellStyle name="Explanatory Text" xfId="9" builtinId="53"/>
    <cellStyle name="Heading 1" xfId="5" builtinId="16"/>
    <cellStyle name="Heading 2" xfId="6" builtinId="17"/>
    <cellStyle name="Heading 3" xfId="7" builtinId="18"/>
    <cellStyle name="Heading 4" xfId="8" builtinId="19"/>
    <cellStyle name="Normal" xfId="0" builtinId="0"/>
    <cellStyle name="Percent" xfId="3" builtinId="5"/>
    <cellStyle name="Phone" xfId="11" xr:uid="{2F373651-E58C-4059-8C9D-41E734C5C09D}"/>
    <cellStyle name="Product Description" xfId="12" xr:uid="{3697219C-46F9-4833-B3AE-46C007203B98}"/>
    <cellStyle name="Right Aligned" xfId="13" xr:uid="{BBCD7E38-DBFA-401C-A308-699D83AC953E}"/>
    <cellStyle name="Title" xfId="4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54652</xdr:colOff>
      <xdr:row>0</xdr:row>
      <xdr:rowOff>124918</xdr:rowOff>
    </xdr:from>
    <xdr:to>
      <xdr:col>1</xdr:col>
      <xdr:colOff>1809302</xdr:colOff>
      <xdr:row>2</xdr:row>
      <xdr:rowOff>7807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E204C6-EE74-4373-801D-06891D873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38" y="124918"/>
          <a:ext cx="1754650" cy="6993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46845</xdr:colOff>
      <xdr:row>0</xdr:row>
      <xdr:rowOff>195185</xdr:rowOff>
    </xdr:from>
    <xdr:to>
      <xdr:col>3</xdr:col>
      <xdr:colOff>779053</xdr:colOff>
      <xdr:row>2</xdr:row>
      <xdr:rowOff>78074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F2A965-E6D4-4702-9341-505491B57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74" y="195185"/>
          <a:ext cx="1744579" cy="6993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mao\My%20Document%2013.01.2020\KFS\Invoices\Invoice%20Template.xlsx" TargetMode="External"/><Relationship Id="rId1" Type="http://schemas.openxmlformats.org/officeDocument/2006/relationships/externalLinkPath" Target="/Users/zmao/My%20Document%2013.01.2020/KFS/Invoices/Invoice%20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mao\My%20Document%2013.01.2020\KFS\1.%20Trans%20(KFS)%20-%202020%20To%20Date%20v2a.xlsm" TargetMode="External"/><Relationship Id="rId1" Type="http://schemas.openxmlformats.org/officeDocument/2006/relationships/externalLinkPath" Target="/Users/zmao/My%20Document%2013.01.2020/KFS/1.%20Trans%20(KFS)%20-%202020%20To%20Date%20v2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mt-PAW"/>
      <sheetName val="Stmt-PAWLtd"/>
      <sheetName val="Stmt-24HR"/>
      <sheetName val="Stmt-Eat"/>
      <sheetName val="Stmt-LSY"/>
      <sheetName val="Stmt-Weronica"/>
      <sheetName val="Stmt-Maria_Frans_Property"/>
      <sheetName val="Stmt-Maria"/>
      <sheetName val="Stmt-Frans (LTD)"/>
      <sheetName val="Stmt-Chandan"/>
      <sheetName val="164.Tam"/>
      <sheetName val="163.Tam"/>
      <sheetName val="162.Con"/>
      <sheetName val="161.CG"/>
      <sheetName val="160.EAS"/>
      <sheetName val="159.EAS"/>
      <sheetName val="158.CH"/>
      <sheetName val="157.CHL"/>
      <sheetName val="156.CG"/>
      <sheetName val="155.EAS"/>
      <sheetName val="154.Tide Bank"/>
      <sheetName val="153.GW"/>
      <sheetName val="152.24Hr"/>
      <sheetName val="151-146.CE"/>
      <sheetName val="150.MBLTD"/>
      <sheetName val="149.PAW"/>
      <sheetName val="148.PAWLtd"/>
      <sheetName val="147.24Hr"/>
      <sheetName val="146.24Hr"/>
      <sheetName val="145.MP"/>
      <sheetName val="144.MBLTD"/>
      <sheetName val="143.MBLTD"/>
      <sheetName val="c142.MBB"/>
      <sheetName val="141.MBB"/>
      <sheetName val="140.Eat"/>
      <sheetName val="139.CG"/>
      <sheetName val="138.CG"/>
      <sheetName val="137.CF"/>
      <sheetName val="136.CH"/>
      <sheetName val="135.GW"/>
      <sheetName val="133.MP"/>
      <sheetName val="132.MBB"/>
      <sheetName val="c131.L"/>
      <sheetName val="130.MP"/>
      <sheetName val="129.MBLTD"/>
      <sheetName val="128.MP"/>
      <sheetName val="127.MBB"/>
      <sheetName val="126.MBLTD"/>
      <sheetName val="125.L"/>
      <sheetName val="124.L"/>
      <sheetName val="123.L"/>
      <sheetName val="122.L"/>
      <sheetName val="121.W"/>
      <sheetName val="120.CI"/>
      <sheetName val="119.CE"/>
      <sheetName val="118.CF"/>
      <sheetName val="117.CM"/>
      <sheetName val="116.L"/>
      <sheetName val="115.MBB"/>
      <sheetName val="114.MP"/>
      <sheetName val="113.MBB"/>
      <sheetName val="112.MBLTD"/>
      <sheetName val="111.MBLTD"/>
      <sheetName val="Inv Analysis"/>
      <sheetName val="Stmt-UCO"/>
      <sheetName val="1164"/>
      <sheetName val="1163"/>
      <sheetName val="1161"/>
      <sheetName val="1160"/>
      <sheetName val="1158"/>
      <sheetName val="1154"/>
      <sheetName val="1152"/>
      <sheetName val="Stmt-Polar Motor"/>
      <sheetName val="1170"/>
      <sheetName val="1169"/>
      <sheetName val="1168"/>
      <sheetName val="1167"/>
      <sheetName val="1166"/>
      <sheetName val="1162"/>
      <sheetName val="1159"/>
      <sheetName val="Stmt-JR2"/>
      <sheetName val="Stmt-JR1"/>
      <sheetName val="Stmt-JR1a"/>
      <sheetName val="1165"/>
      <sheetName val="1157"/>
      <sheetName val="1156"/>
      <sheetName val="1155"/>
      <sheetName val="1153"/>
      <sheetName val="1151"/>
      <sheetName val="1150"/>
      <sheetName val="Stmt-Jan (6)"/>
      <sheetName val="Stmt-Jan (5)"/>
      <sheetName val="Stmt-Jan (4)"/>
      <sheetName val="Stmt-Jan (3)"/>
      <sheetName val="Stmt-Jan (2)"/>
      <sheetName val="1143"/>
      <sheetName val="1142"/>
      <sheetName val="1141"/>
      <sheetName val="1140"/>
      <sheetName val="1139"/>
      <sheetName val="1138"/>
      <sheetName val="1137"/>
      <sheetName val="1136"/>
      <sheetName val="1135"/>
      <sheetName val="1134"/>
      <sheetName val="1133"/>
      <sheetName val="1132"/>
      <sheetName val="1131"/>
      <sheetName val="1130"/>
      <sheetName val="1129"/>
      <sheetName val="1128"/>
      <sheetName val="1127"/>
      <sheetName val="1126"/>
      <sheetName val="1125"/>
      <sheetName val="1124"/>
      <sheetName val="1123"/>
      <sheetName val="1122"/>
      <sheetName val="1121"/>
      <sheetName val="1120"/>
      <sheetName val="1119"/>
      <sheetName val="1118"/>
      <sheetName val="1117"/>
      <sheetName val="1116"/>
      <sheetName val="1115"/>
      <sheetName val="1114"/>
      <sheetName val="Stmt-Jan"/>
      <sheetName val="1113"/>
      <sheetName val="1112"/>
      <sheetName val="1111"/>
      <sheetName val="1110"/>
      <sheetName val="1109"/>
      <sheetName val="1108"/>
      <sheetName val="1107"/>
      <sheetName val="1106"/>
      <sheetName val="1105"/>
      <sheetName val="1104"/>
      <sheetName val="1103"/>
      <sheetName val="1102"/>
      <sheetName val="1101"/>
      <sheetName val="1100"/>
      <sheetName val="110"/>
      <sheetName val="109"/>
      <sheetName val="108"/>
      <sheetName val="ZM 9"/>
      <sheetName val="ZM 8"/>
      <sheetName val="ZM 7"/>
      <sheetName val="ZM 6"/>
      <sheetName val="--&gt;&gt;"/>
      <sheetName val="Stmt-Sno"/>
      <sheetName val="Snow 605"/>
      <sheetName val="Snow 604"/>
      <sheetName val="Snow 603"/>
      <sheetName val="Snow 602"/>
      <sheetName val="Snow R001"/>
      <sheetName val="VIS 601"/>
      <sheetName val="107-109"/>
      <sheetName val="103-106"/>
      <sheetName val="101-102"/>
      <sheetName val="ZM 2,5"/>
      <sheetName val="PM10"/>
      <sheetName val="PM9"/>
      <sheetName val="PM8"/>
      <sheetName val="PM7"/>
      <sheetName val="PM6"/>
      <sheetName val="PM5"/>
      <sheetName val="PM4"/>
      <sheetName val="PM3"/>
      <sheetName val="PM2"/>
      <sheetName val="PM1"/>
      <sheetName val="Stmt-BIO"/>
      <sheetName val="BIO1103-Rep1111"/>
      <sheetName val="BIO1102-Rep1111"/>
      <sheetName val="BIO1101-Rep1110"/>
      <sheetName val="BIO1100-Rep1109"/>
      <sheetName val="Temp-Inv"/>
      <sheetName val="Temp-Stm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2">
          <cell r="C2" t="str">
            <v>Kaizen Finance Solution Ltd</v>
          </cell>
        </row>
      </sheetData>
      <sheetData sheetId="17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S"/>
      <sheetName val="VAT Template"/>
      <sheetName val="VAT Qtr4"/>
      <sheetName val="VAT Qtr3"/>
      <sheetName val="VAT Qtr2"/>
      <sheetName val="VAT Qtr1"/>
      <sheetName val="Instruction"/>
      <sheetName val="Tab Name"/>
      <sheetName val="List"/>
      <sheetName val="Inv Analysis"/>
      <sheetName val="Bills"/>
      <sheetName val="Note"/>
      <sheetName val="2020 Adj"/>
      <sheetName val="QB"/>
      <sheetName val="TB"/>
      <sheetName val="JNL"/>
      <sheetName val="Trans Template"/>
      <sheetName val="Bank Current"/>
      <sheetName val="Bank Deposit"/>
      <sheetName val="Petty Cash"/>
      <sheetName val="Cash Register"/>
      <sheetName val="Credit Card"/>
      <sheetName val="Directors Loan"/>
      <sheetName val="Debtor(Sales)"/>
      <sheetName val="Credit(Purchase)"/>
      <sheetName val="Customer"/>
      <sheetName val="Supplier"/>
      <sheetName val="Fixed Asset Reg"/>
      <sheetName val="Staff-Sum-YEAR"/>
      <sheetName val="StaffCosts YEAR"/>
      <sheetName val="Accrual&amp;Depn"/>
      <sheetName val="Age Debtor"/>
      <sheetName val="Directo Loan Calc"/>
      <sheetName val="Div Setup"/>
      <sheetName val="Div Decleration"/>
      <sheetName val="Div Voucher1"/>
      <sheetName val="Div Voucher2"/>
      <sheetName val="Stocktake"/>
      <sheetName val="Stylist Payout"/>
      <sheetName val="Inter-Stock"/>
      <sheetName val="Cal-HomeOffice"/>
      <sheetName val="Share Certificate 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JNL</v>
          </cell>
        </row>
        <row r="2">
          <cell r="E2" t="str">
            <v>Bank Current</v>
          </cell>
        </row>
        <row r="3">
          <cell r="E3" t="str">
            <v>Bank Deposit</v>
          </cell>
        </row>
        <row r="4">
          <cell r="E4" t="str">
            <v>Petty Cash</v>
          </cell>
        </row>
        <row r="5">
          <cell r="E5" t="str">
            <v>Cash Register</v>
          </cell>
        </row>
        <row r="6">
          <cell r="E6" t="str">
            <v>Credit Card</v>
          </cell>
        </row>
        <row r="7">
          <cell r="E7" t="str">
            <v>Directors Loan</v>
          </cell>
        </row>
        <row r="8">
          <cell r="E8" t="str">
            <v>Debtor(Sales)</v>
          </cell>
        </row>
        <row r="9">
          <cell r="E9" t="str">
            <v>Credit(Purchase)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574F-2370-4525-BA83-8F7CE3610FA4}">
  <sheetPr>
    <tabColor rgb="FFFFFF00"/>
    <pageSetUpPr fitToPage="1"/>
  </sheetPr>
  <dimension ref="B1:F58"/>
  <sheetViews>
    <sheetView showGridLines="0" tabSelected="1" zoomScale="61" workbookViewId="0">
      <selection activeCell="B7" sqref="B7"/>
    </sheetView>
  </sheetViews>
  <sheetFormatPr defaultColWidth="9" defaultRowHeight="30" customHeight="1" x14ac:dyDescent="0.35"/>
  <cols>
    <col min="1" max="1" width="2.640625" style="1" customWidth="1"/>
    <col min="2" max="2" width="55.85546875" style="1" customWidth="1"/>
    <col min="3" max="3" width="10.0703125" style="1" customWidth="1"/>
    <col min="4" max="5" width="12.640625" style="1" customWidth="1"/>
    <col min="6" max="6" width="19.5" style="1" customWidth="1"/>
    <col min="7" max="7" width="2.640625" style="1" customWidth="1"/>
    <col min="8" max="16384" width="9" style="1"/>
  </cols>
  <sheetData>
    <row r="1" spans="2:6" ht="34.5" customHeight="1" x14ac:dyDescent="0.35">
      <c r="E1" s="2"/>
      <c r="F1" s="2" t="s">
        <v>24</v>
      </c>
    </row>
    <row r="2" spans="2:6" ht="30" customHeight="1" x14ac:dyDescent="0.35">
      <c r="B2" s="4"/>
      <c r="C2" s="3" t="s">
        <v>1</v>
      </c>
    </row>
    <row r="3" spans="2:6" ht="15" customHeight="1" x14ac:dyDescent="0.35">
      <c r="C3" s="5" t="s">
        <v>2</v>
      </c>
      <c r="E3" s="6"/>
      <c r="F3" s="7"/>
    </row>
    <row r="4" spans="2:6" ht="15" customHeight="1" x14ac:dyDescent="0.35">
      <c r="C4" s="5" t="s">
        <v>3</v>
      </c>
      <c r="E4" s="6"/>
      <c r="F4" s="7"/>
    </row>
    <row r="5" spans="2:6" ht="15" customHeight="1" x14ac:dyDescent="0.35">
      <c r="C5" s="5" t="s">
        <v>4</v>
      </c>
      <c r="E5" s="6"/>
      <c r="F5" s="7"/>
    </row>
    <row r="6" spans="2:6" ht="15" customHeight="1" x14ac:dyDescent="0.35"/>
    <row r="7" spans="2:6" ht="15" customHeight="1" x14ac:dyDescent="0.35">
      <c r="E7" s="6" t="s">
        <v>5</v>
      </c>
      <c r="F7" s="8">
        <v>45989</v>
      </c>
    </row>
    <row r="8" spans="2:6" ht="30" customHeight="1" x14ac:dyDescent="0.35">
      <c r="B8" s="9"/>
      <c r="C8" s="9"/>
      <c r="E8" s="6" t="s">
        <v>25</v>
      </c>
      <c r="F8" s="1" t="s">
        <v>26</v>
      </c>
    </row>
    <row r="9" spans="2:6" ht="14.15" x14ac:dyDescent="0.35">
      <c r="B9" s="6" t="s">
        <v>8</v>
      </c>
      <c r="C9" s="6"/>
      <c r="E9" s="10" t="s">
        <v>27</v>
      </c>
      <c r="F9" s="11" t="s">
        <v>28</v>
      </c>
    </row>
    <row r="10" spans="2:6" ht="15" customHeight="1" x14ac:dyDescent="0.35">
      <c r="B10" s="1" t="s">
        <v>36</v>
      </c>
    </row>
    <row r="11" spans="2:6" ht="15" customHeight="1" x14ac:dyDescent="0.35">
      <c r="B11" s="12" t="s">
        <v>37</v>
      </c>
    </row>
    <row r="12" spans="2:6" ht="15" customHeight="1" x14ac:dyDescent="0.35">
      <c r="B12" s="12" t="s">
        <v>38</v>
      </c>
    </row>
    <row r="13" spans="2:6" ht="15" customHeight="1" x14ac:dyDescent="0.35">
      <c r="B13" s="13"/>
    </row>
    <row r="14" spans="2:6" ht="15" customHeight="1" x14ac:dyDescent="0.35"/>
    <row r="15" spans="2:6" ht="15" customHeight="1" x14ac:dyDescent="0.35"/>
    <row r="16" spans="2:6" ht="15" customHeight="1" x14ac:dyDescent="0.35"/>
    <row r="17" spans="2:6" ht="30" customHeight="1" x14ac:dyDescent="0.35">
      <c r="B17" s="9"/>
      <c r="C17" s="9"/>
    </row>
    <row r="18" spans="2:6" ht="30" customHeight="1" x14ac:dyDescent="0.35">
      <c r="B18" s="51" t="s">
        <v>10</v>
      </c>
      <c r="C18" s="52"/>
      <c r="D18" s="51" t="s">
        <v>29</v>
      </c>
      <c r="E18" s="51" t="s">
        <v>30</v>
      </c>
      <c r="F18" s="53" t="s">
        <v>11</v>
      </c>
    </row>
    <row r="19" spans="2:6" ht="14.15" x14ac:dyDescent="0.35">
      <c r="B19" s="54" t="s">
        <v>31</v>
      </c>
      <c r="C19" s="55"/>
      <c r="D19" s="56">
        <v>1</v>
      </c>
      <c r="E19" s="57">
        <v>500</v>
      </c>
      <c r="F19" s="58">
        <f>IF(D19="","",IFERROR(D19*E19, ""))</f>
        <v>500</v>
      </c>
    </row>
    <row r="20" spans="2:6" ht="14.15" x14ac:dyDescent="0.35">
      <c r="B20" s="59"/>
      <c r="C20" s="60"/>
      <c r="D20" s="61"/>
      <c r="E20" s="62"/>
      <c r="F20" s="63" t="str">
        <f t="shared" ref="F20:F44" si="0">IF(D20="","",IFERROR(D20*E20, ""))</f>
        <v/>
      </c>
    </row>
    <row r="21" spans="2:6" ht="14.15" x14ac:dyDescent="0.35">
      <c r="B21" s="59"/>
      <c r="C21" s="60"/>
      <c r="D21" s="61"/>
      <c r="E21" s="62"/>
      <c r="F21" s="63" t="str">
        <f t="shared" si="0"/>
        <v/>
      </c>
    </row>
    <row r="22" spans="2:6" ht="14.15" x14ac:dyDescent="0.35">
      <c r="B22" s="59"/>
      <c r="C22" s="60"/>
      <c r="D22" s="61"/>
      <c r="E22" s="62"/>
      <c r="F22" s="64" t="str">
        <f t="shared" si="0"/>
        <v/>
      </c>
    </row>
    <row r="23" spans="2:6" ht="14.15" x14ac:dyDescent="0.35">
      <c r="B23" s="59"/>
      <c r="C23" s="60"/>
      <c r="D23" s="61"/>
      <c r="E23" s="62"/>
      <c r="F23" s="64" t="str">
        <f t="shared" si="0"/>
        <v/>
      </c>
    </row>
    <row r="24" spans="2:6" ht="14.15" x14ac:dyDescent="0.35">
      <c r="B24" s="59"/>
      <c r="C24" s="60"/>
      <c r="D24" s="61"/>
      <c r="E24" s="62"/>
      <c r="F24" s="63" t="str">
        <f t="shared" si="0"/>
        <v/>
      </c>
    </row>
    <row r="25" spans="2:6" ht="14.15" x14ac:dyDescent="0.35">
      <c r="B25" s="59"/>
      <c r="C25" s="60"/>
      <c r="D25" s="61"/>
      <c r="E25" s="62"/>
      <c r="F25" s="64" t="str">
        <f t="shared" si="0"/>
        <v/>
      </c>
    </row>
    <row r="26" spans="2:6" ht="14.15" x14ac:dyDescent="0.35">
      <c r="B26" s="59"/>
      <c r="C26" s="60"/>
      <c r="D26" s="61"/>
      <c r="E26" s="62"/>
      <c r="F26" s="63" t="str">
        <f t="shared" si="0"/>
        <v/>
      </c>
    </row>
    <row r="27" spans="2:6" ht="14.15" x14ac:dyDescent="0.35">
      <c r="B27" s="59"/>
      <c r="C27" s="60"/>
      <c r="D27" s="61"/>
      <c r="E27" s="62"/>
      <c r="F27" s="64" t="str">
        <f t="shared" si="0"/>
        <v/>
      </c>
    </row>
    <row r="28" spans="2:6" ht="14.15" x14ac:dyDescent="0.35">
      <c r="B28" s="59"/>
      <c r="C28" s="60"/>
      <c r="D28" s="61"/>
      <c r="E28" s="62"/>
      <c r="F28" s="63" t="str">
        <f t="shared" si="0"/>
        <v/>
      </c>
    </row>
    <row r="29" spans="2:6" ht="14.15" x14ac:dyDescent="0.35">
      <c r="B29" s="59"/>
      <c r="C29" s="60"/>
      <c r="D29" s="61"/>
      <c r="E29" s="62"/>
      <c r="F29" s="64" t="str">
        <f t="shared" si="0"/>
        <v/>
      </c>
    </row>
    <row r="30" spans="2:6" ht="14.15" x14ac:dyDescent="0.35">
      <c r="B30" s="59"/>
      <c r="C30" s="60"/>
      <c r="D30" s="61"/>
      <c r="E30" s="62"/>
      <c r="F30" s="63" t="str">
        <f t="shared" si="0"/>
        <v/>
      </c>
    </row>
    <row r="31" spans="2:6" ht="14.15" x14ac:dyDescent="0.35">
      <c r="B31" s="59"/>
      <c r="C31" s="60"/>
      <c r="D31" s="61"/>
      <c r="E31" s="62"/>
      <c r="F31" s="64" t="str">
        <f t="shared" si="0"/>
        <v/>
      </c>
    </row>
    <row r="32" spans="2:6" ht="14.15" x14ac:dyDescent="0.35">
      <c r="B32" s="59"/>
      <c r="C32" s="60"/>
      <c r="D32" s="61"/>
      <c r="E32" s="62"/>
      <c r="F32" s="63" t="str">
        <f t="shared" si="0"/>
        <v/>
      </c>
    </row>
    <row r="33" spans="2:6" ht="14.15" x14ac:dyDescent="0.35">
      <c r="B33" s="59"/>
      <c r="C33" s="60"/>
      <c r="D33" s="61"/>
      <c r="E33" s="62"/>
      <c r="F33" s="64" t="str">
        <f t="shared" si="0"/>
        <v/>
      </c>
    </row>
    <row r="34" spans="2:6" ht="14.15" x14ac:dyDescent="0.35">
      <c r="B34" s="59"/>
      <c r="C34" s="60"/>
      <c r="D34" s="61"/>
      <c r="E34" s="62"/>
      <c r="F34" s="63" t="str">
        <f t="shared" si="0"/>
        <v/>
      </c>
    </row>
    <row r="35" spans="2:6" ht="14.15" x14ac:dyDescent="0.35">
      <c r="B35" s="59"/>
      <c r="C35" s="60"/>
      <c r="D35" s="61"/>
      <c r="E35" s="62"/>
      <c r="F35" s="64" t="str">
        <f t="shared" si="0"/>
        <v/>
      </c>
    </row>
    <row r="36" spans="2:6" ht="14.15" x14ac:dyDescent="0.35">
      <c r="B36" s="59"/>
      <c r="C36" s="60"/>
      <c r="D36" s="61"/>
      <c r="E36" s="62"/>
      <c r="F36" s="63" t="str">
        <f t="shared" si="0"/>
        <v/>
      </c>
    </row>
    <row r="37" spans="2:6" ht="14.15" x14ac:dyDescent="0.35">
      <c r="B37" s="59"/>
      <c r="C37" s="60"/>
      <c r="D37" s="61"/>
      <c r="E37" s="62"/>
      <c r="F37" s="64" t="str">
        <f t="shared" si="0"/>
        <v/>
      </c>
    </row>
    <row r="38" spans="2:6" ht="14.15" x14ac:dyDescent="0.35">
      <c r="B38" s="59"/>
      <c r="C38" s="60"/>
      <c r="D38" s="61"/>
      <c r="E38" s="62"/>
      <c r="F38" s="63" t="str">
        <f t="shared" si="0"/>
        <v/>
      </c>
    </row>
    <row r="39" spans="2:6" ht="14.15" x14ac:dyDescent="0.35">
      <c r="B39" s="59"/>
      <c r="C39" s="60"/>
      <c r="D39" s="61"/>
      <c r="E39" s="62"/>
      <c r="F39" s="64" t="str">
        <f t="shared" si="0"/>
        <v/>
      </c>
    </row>
    <row r="40" spans="2:6" ht="14.15" x14ac:dyDescent="0.35">
      <c r="B40" s="59"/>
      <c r="C40" s="60"/>
      <c r="D40" s="61"/>
      <c r="E40" s="62"/>
      <c r="F40" s="63" t="str">
        <f t="shared" si="0"/>
        <v/>
      </c>
    </row>
    <row r="41" spans="2:6" ht="14.15" x14ac:dyDescent="0.35">
      <c r="B41" s="59"/>
      <c r="C41" s="60"/>
      <c r="D41" s="61"/>
      <c r="E41" s="62"/>
      <c r="F41" s="64" t="str">
        <f t="shared" si="0"/>
        <v/>
      </c>
    </row>
    <row r="42" spans="2:6" ht="14.15" x14ac:dyDescent="0.35">
      <c r="B42" s="59"/>
      <c r="C42" s="60"/>
      <c r="D42" s="61"/>
      <c r="E42" s="62"/>
      <c r="F42" s="63" t="str">
        <f t="shared" si="0"/>
        <v/>
      </c>
    </row>
    <row r="43" spans="2:6" ht="14.15" x14ac:dyDescent="0.35">
      <c r="B43" s="59"/>
      <c r="C43" s="60"/>
      <c r="D43" s="61"/>
      <c r="E43" s="62"/>
      <c r="F43" s="64" t="str">
        <f t="shared" si="0"/>
        <v/>
      </c>
    </row>
    <row r="44" spans="2:6" ht="14.15" x14ac:dyDescent="0.35">
      <c r="B44" s="65"/>
      <c r="C44" s="66"/>
      <c r="D44" s="61"/>
      <c r="E44" s="62"/>
      <c r="F44" s="63" t="str">
        <f t="shared" si="0"/>
        <v/>
      </c>
    </row>
    <row r="45" spans="2:6" ht="30" customHeight="1" x14ac:dyDescent="0.35">
      <c r="B45" s="67"/>
      <c r="C45" s="67"/>
      <c r="D45" s="67"/>
      <c r="E45" s="67" t="s">
        <v>32</v>
      </c>
      <c r="F45" s="68">
        <f>SUBTOTAL(109,Invoice!$F$19:$F$44)</f>
        <v>500</v>
      </c>
    </row>
    <row r="46" spans="2:6" ht="30" customHeight="1" x14ac:dyDescent="0.35">
      <c r="E46" s="69" t="s">
        <v>33</v>
      </c>
      <c r="F46" s="70"/>
    </row>
    <row r="47" spans="2:6" ht="30" customHeight="1" x14ac:dyDescent="0.35">
      <c r="E47" s="69" t="s">
        <v>34</v>
      </c>
      <c r="F47" s="71">
        <f>IFERROR(F45*F46, "")</f>
        <v>0</v>
      </c>
    </row>
    <row r="48" spans="2:6" ht="30" customHeight="1" x14ac:dyDescent="0.35">
      <c r="E48" s="69" t="s">
        <v>35</v>
      </c>
      <c r="F48" s="72"/>
    </row>
    <row r="49" spans="2:6" ht="30" customHeight="1" x14ac:dyDescent="0.35">
      <c r="B49" s="73"/>
      <c r="E49" s="74" t="s">
        <v>17</v>
      </c>
      <c r="F49" s="71">
        <f>IFERROR(F45+F47+F48, "")</f>
        <v>500</v>
      </c>
    </row>
    <row r="50" spans="2:6" s="73" customFormat="1" ht="30" customHeight="1" x14ac:dyDescent="0.35">
      <c r="E50" s="75"/>
      <c r="F50" s="76"/>
    </row>
    <row r="51" spans="2:6" ht="14.15" x14ac:dyDescent="0.35"/>
    <row r="52" spans="2:6" ht="14.15" x14ac:dyDescent="0.35">
      <c r="D52" s="49"/>
      <c r="E52" s="49"/>
      <c r="F52" s="49"/>
    </row>
    <row r="53" spans="2:6" ht="14.15" x14ac:dyDescent="0.35">
      <c r="C53" s="5" t="str">
        <f>"Make all cheques payable to "&amp;Company_Name&amp;"."</f>
        <v>Make all cheques payable to Kaizen Finance Solution Ltd.</v>
      </c>
      <c r="D53" s="49"/>
      <c r="E53" s="49"/>
      <c r="F53" s="49"/>
    </row>
    <row r="54" spans="2:6" ht="14.15" x14ac:dyDescent="0.35">
      <c r="C54" s="5" t="s">
        <v>19</v>
      </c>
      <c r="D54" s="49"/>
      <c r="E54" s="49"/>
      <c r="F54" s="49"/>
    </row>
    <row r="55" spans="2:6" ht="14.15" x14ac:dyDescent="0.35">
      <c r="C55" s="1" t="s">
        <v>20</v>
      </c>
      <c r="D55" s="49"/>
      <c r="E55" s="49"/>
      <c r="F55" s="49"/>
    </row>
    <row r="56" spans="2:6" ht="14.15" x14ac:dyDescent="0.35">
      <c r="C56" s="5" t="s">
        <v>21</v>
      </c>
    </row>
    <row r="57" spans="2:6" ht="21.45" customHeight="1" x14ac:dyDescent="0.35">
      <c r="C57" s="5" t="s">
        <v>22</v>
      </c>
    </row>
    <row r="58" spans="2:6" ht="30" customHeight="1" x14ac:dyDescent="0.35">
      <c r="C58" s="50" t="s">
        <v>23</v>
      </c>
    </row>
  </sheetData>
  <dataValidations count="33">
    <dataValidation allowBlank="1" showInputMessage="1" showErrorMessage="1" prompt="Enter customer City, State, and Zip Code in this cell" sqref="C13:C16 B14:B15" xr:uid="{F3DBCF0D-7FB6-4DEE-BE25-E3EC46C43988}"/>
    <dataValidation allowBlank="1" showInputMessage="1" showErrorMessage="1" prompt="Replace the number of days in which the balance is due and service charge percent per month in this cell" sqref="D51:F51 C53:C54 C56:C57" xr:uid="{6179BAC4-D15E-447A-94E8-4207190902ED}"/>
    <dataValidation allowBlank="1" showInputMessage="1" showErrorMessage="1" prompt="Company name is automatically appended in this cell" sqref="C53:C54 C56 C50:D50 F50" xr:uid="{30E9E4AC-BAFC-4BB7-BE8B-D836148351A2}"/>
    <dataValidation allowBlank="1" showInputMessage="1" showErrorMessage="1" prompt="Enter invoice Date in this cell" sqref="F3:F5 F7" xr:uid="{71D6E1F0-2420-4A60-8EEC-AD26BFFCC860}"/>
    <dataValidation allowBlank="1" showInputMessage="1" showErrorMessage="1" prompt="Enter invoice Date in cell at right" sqref="E3:E5 E7" xr:uid="{477600D7-1290-47B3-A013-E5E6330B3A5E}"/>
    <dataValidation allowBlank="1" showInputMessage="1" showErrorMessage="1" prompt="Title of this worksheet is in this cell. Enter Invoice details in cells D3 through E5" sqref="F1" xr:uid="{9F89B861-F1DF-48B5-99F5-0FDEB07DE439}"/>
    <dataValidation allowBlank="1" showInputMessage="1" showErrorMessage="1" prompt="Amount is automatically calculated in this column under this heading" sqref="F18" xr:uid="{1977B409-8259-4F7C-B0EA-5B9605DD8F6E}"/>
    <dataValidation allowBlank="1" showInputMessage="1" showErrorMessage="1" prompt="Enter Rate in this column under this heading" sqref="E18" xr:uid="{001888A0-06B5-4F59-9AC1-148D3B11AC36}"/>
    <dataValidation allowBlank="1" showInputMessage="1" showErrorMessage="1" prompt="Enter Hours in this column under this heading" sqref="D18" xr:uid="{0313EB12-8DE4-4193-A03A-BB62631447CE}"/>
    <dataValidation allowBlank="1" showInputMessage="1" showErrorMessage="1" prompt="Create a Service Invoice with tax calculation in this worksheet. Enter company and customer details, and service details in Invoice table. Total due is automatically calculated" sqref="A1" xr:uid="{1BFE4CF5-C58F-4487-8FB7-FDFF2A6D372B}"/>
    <dataValidation allowBlank="1" showInputMessage="1" showErrorMessage="1" prompt="Enter invoicing Company Name in this cell and Slogan in cell below" sqref="C2" xr:uid="{37678DE9-A093-48D4-9770-41A732F8EE87}"/>
    <dataValidation allowBlank="1" showInputMessage="1" showErrorMessage="1" prompt="Enter Company Slogan in this cell and company address in cells below" sqref="B2:C2" xr:uid="{AAD056D3-956D-40B5-8904-426401B4B286}"/>
    <dataValidation allowBlank="1" showInputMessage="1" showErrorMessage="1" prompt="Enter invoicing company Street Address in this cell" sqref="B3:C6" xr:uid="{F9551A0C-E4B3-4F15-9276-37E64CE390DB}"/>
    <dataValidation allowBlank="1" showInputMessage="1" showErrorMessage="1" prompt="Enter City, State, and Zip Code in this cell" sqref="B7:C7" xr:uid="{50CD3355-8B9B-422F-AF2E-867513DFE801}"/>
    <dataValidation allowBlank="1" showInputMessage="1" showErrorMessage="1" prompt="Enter Phone and Fax number in this cell" sqref="B8:C8" xr:uid="{304CBE36-68E4-4FBB-857B-DD9E51A544E6}"/>
    <dataValidation allowBlank="1" showInputMessage="1" showErrorMessage="1" prompt="Enter Descriptions in this column under this heading. Use heading filters to find specific entries" sqref="B18:C18" xr:uid="{5B2AA87B-56D6-4527-8E24-A2510399B041}"/>
    <dataValidation allowBlank="1" showInputMessage="1" showErrorMessage="1" prompt="Enter Invoice Number in cell at right" sqref="E8" xr:uid="{CED2045D-8FBF-47DD-8E2E-23A3FEE516DE}"/>
    <dataValidation allowBlank="1" showInputMessage="1" showErrorMessage="1" prompt="Enter Invoice Number in this cell" sqref="F8" xr:uid="{D3E62DAA-9D20-4983-BCFB-A18A755BD3AD}"/>
    <dataValidation allowBlank="1" showInputMessage="1" showErrorMessage="1" prompt="Enter invoice Project or Service description in this cell" sqref="F9" xr:uid="{6EF9EF43-C0BE-4663-9ABD-804559CE202A}"/>
    <dataValidation allowBlank="1" showInputMessage="1" showErrorMessage="1" prompt="Enter invoice Project or Service description in cell at right" sqref="E9" xr:uid="{CBAF90C8-46E9-46B4-BF1C-450B63F46CF3}"/>
    <dataValidation allowBlank="1" showInputMessage="1" showErrorMessage="1" prompt="Enter customer Phone number in this cell" sqref="B17:C17" xr:uid="{B993C4A2-2EB2-4835-B6FC-67F8193AFCF2}"/>
    <dataValidation allowBlank="1" showInputMessage="1" showErrorMessage="1" prompt="Enter customer Street Address in this cell" sqref="B12:B13 C12" xr:uid="{DF83ED5A-5DBA-4744-91B6-02D83C0A0111}"/>
    <dataValidation allowBlank="1" showInputMessage="1" showErrorMessage="1" prompt="Enter customer Company Name in this cell" sqref="B11:C11" xr:uid="{E465291D-76C5-488D-BC49-9D7B4B5F8109}"/>
    <dataValidation allowBlank="1" showInputMessage="1" showErrorMessage="1" prompt="Enter customer Name in this cell" sqref="B10:C10" xr:uid="{4788A04D-119C-4415-AE6B-2277D3424A81}"/>
    <dataValidation allowBlank="1" showInputMessage="1" showErrorMessage="1" prompt="Enter customer Name, Company Name, Street Address, City, State, Zip Code, and Phone number in cells below" sqref="B9:C9" xr:uid="{2210DC84-5A1E-4BD4-BE32-31E48F2716C8}"/>
    <dataValidation allowBlank="1" showInputMessage="1" showErrorMessage="1" prompt="Enter Tax Rate in this cell" sqref="F46" xr:uid="{79FE5D61-5E3B-4CEE-AD1C-6FE391E64022}"/>
    <dataValidation allowBlank="1" showInputMessage="1" showErrorMessage="1" prompt="Enter Tax Rate in cell at right" sqref="E46" xr:uid="{0066C514-280D-4B1C-8F67-A0F399A07620}"/>
    <dataValidation allowBlank="1" showInputMessage="1" showErrorMessage="1" prompt="Sales Tax amount is automatically calculated in this cell" sqref="F47" xr:uid="{1E2EFD44-9913-4692-9E82-33A586FC5E3E}"/>
    <dataValidation allowBlank="1" showInputMessage="1" showErrorMessage="1" prompt="Sales Tax amount is automatically calculated in cell at right" sqref="E47" xr:uid="{C5FC3913-D64D-4826-A729-DD556BD45CAF}"/>
    <dataValidation allowBlank="1" showInputMessage="1" showErrorMessage="1" prompt="Enter Other amount in this cell" sqref="F48" xr:uid="{0C9953B7-387B-4A35-A563-6AA7689410DF}"/>
    <dataValidation allowBlank="1" showInputMessage="1" showErrorMessage="1" prompt="Enter Other amount in cell at right" sqref="E48" xr:uid="{B19FF849-3149-467D-8666-E14E03F92F16}"/>
    <dataValidation allowBlank="1" showInputMessage="1" showErrorMessage="1" prompt="Total due is automatically calculated in cell at right" sqref="E49" xr:uid="{C0FD3889-98E6-4914-9298-D24A24CB7E49}"/>
    <dataValidation allowBlank="1" showInputMessage="1" showErrorMessage="1" prompt="Total due is automatically calculated in this cell" sqref="F49" xr:uid="{CA5A662C-572F-4B23-A605-68FAF9C1482F}"/>
  </dataValidations>
  <printOptions horizontalCentered="1"/>
  <pageMargins left="0.51181102362204722" right="0.51181102362204722" top="0.51181102362204722" bottom="0.51181102362204722" header="0.51181102362204722" footer="0.51181102362204722"/>
  <pageSetup paperSize="9" scale="74" orientation="portrait" r:id="rId1"/>
  <headerFooter differentFirst="1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E896-4880-428E-B9A1-BE4A3839FD56}">
  <sheetPr>
    <tabColor theme="0" tint="-0.249977111117893"/>
    <pageSetUpPr fitToPage="1"/>
  </sheetPr>
  <dimension ref="A1:J64"/>
  <sheetViews>
    <sheetView showGridLines="0" zoomScale="61" workbookViewId="0">
      <selection activeCell="B10" sqref="B10:B12"/>
    </sheetView>
  </sheetViews>
  <sheetFormatPr defaultColWidth="9" defaultRowHeight="30" customHeight="1" outlineLevelRow="1" x14ac:dyDescent="0.35"/>
  <cols>
    <col min="1" max="1" width="0.7109375" style="1" customWidth="1"/>
    <col min="2" max="2" width="11.78515625" style="1" customWidth="1"/>
    <col min="3" max="3" width="1.5" style="1" customWidth="1"/>
    <col min="4" max="4" width="48.92578125" style="1" customWidth="1"/>
    <col min="5" max="5" width="10.0703125" style="1" customWidth="1"/>
    <col min="6" max="6" width="10.7109375" style="1" customWidth="1"/>
    <col min="7" max="7" width="10.640625" style="1" customWidth="1"/>
    <col min="8" max="8" width="12.7109375" style="1" customWidth="1"/>
    <col min="9" max="9" width="17.5" style="1" bestFit="1" customWidth="1"/>
    <col min="10" max="10" width="10.640625" style="1" customWidth="1"/>
    <col min="11" max="11" width="1.5" style="1" customWidth="1"/>
    <col min="12" max="16384" width="9" style="1"/>
  </cols>
  <sheetData>
    <row r="1" spans="2:10" ht="34.5" customHeight="1" x14ac:dyDescent="0.35">
      <c r="H1" s="2" t="s">
        <v>0</v>
      </c>
    </row>
    <row r="2" spans="2:10" ht="30" customHeight="1" x14ac:dyDescent="0.35">
      <c r="B2" s="3"/>
      <c r="C2" s="3"/>
      <c r="D2" s="4"/>
      <c r="E2" s="3" t="s">
        <v>1</v>
      </c>
    </row>
    <row r="3" spans="2:10" ht="15" customHeight="1" x14ac:dyDescent="0.35">
      <c r="B3" s="5"/>
      <c r="C3" s="5"/>
      <c r="E3" s="5" t="s">
        <v>2</v>
      </c>
      <c r="G3" s="6"/>
      <c r="H3" s="7"/>
      <c r="I3" s="6"/>
    </row>
    <row r="4" spans="2:10" ht="15" customHeight="1" x14ac:dyDescent="0.35">
      <c r="B4" s="5"/>
      <c r="C4" s="5"/>
      <c r="E4" s="5" t="s">
        <v>3</v>
      </c>
      <c r="G4" s="6"/>
      <c r="H4" s="7"/>
      <c r="I4" s="6"/>
    </row>
    <row r="5" spans="2:10" ht="15" customHeight="1" x14ac:dyDescent="0.35">
      <c r="B5" s="5"/>
      <c r="C5" s="5"/>
      <c r="E5" s="5" t="s">
        <v>4</v>
      </c>
      <c r="G5" s="6"/>
      <c r="H5" s="7"/>
      <c r="I5" s="6"/>
    </row>
    <row r="6" spans="2:10" ht="15" customHeight="1" x14ac:dyDescent="0.35"/>
    <row r="7" spans="2:10" ht="15" customHeight="1" x14ac:dyDescent="0.35">
      <c r="H7" s="6" t="s">
        <v>5</v>
      </c>
      <c r="I7" s="8">
        <v>45800</v>
      </c>
    </row>
    <row r="8" spans="2:10" ht="30" customHeight="1" x14ac:dyDescent="0.35">
      <c r="B8" s="9"/>
      <c r="C8" s="9"/>
      <c r="D8" s="9"/>
      <c r="E8" s="9"/>
      <c r="H8" s="6" t="s">
        <v>6</v>
      </c>
      <c r="I8" s="1" t="s">
        <v>7</v>
      </c>
    </row>
    <row r="9" spans="2:10" ht="14.15" x14ac:dyDescent="0.35">
      <c r="B9" s="6" t="s">
        <v>8</v>
      </c>
      <c r="C9" s="6"/>
      <c r="D9" s="6"/>
      <c r="E9" s="6"/>
      <c r="G9" s="10"/>
      <c r="H9" s="11"/>
      <c r="I9" s="10"/>
      <c r="J9" s="10"/>
    </row>
    <row r="10" spans="2:10" ht="15" customHeight="1" x14ac:dyDescent="0.35">
      <c r="B10" s="1" t="s">
        <v>36</v>
      </c>
    </row>
    <row r="11" spans="2:10" ht="15" customHeight="1" x14ac:dyDescent="0.35">
      <c r="B11" s="12" t="s">
        <v>37</v>
      </c>
    </row>
    <row r="12" spans="2:10" ht="15" customHeight="1" x14ac:dyDescent="0.35">
      <c r="B12" s="12" t="s">
        <v>38</v>
      </c>
    </row>
    <row r="13" spans="2:10" ht="15" customHeight="1" x14ac:dyDescent="0.35"/>
    <row r="14" spans="2:10" ht="15" customHeight="1" x14ac:dyDescent="0.35"/>
    <row r="15" spans="2:10" ht="15" customHeight="1" x14ac:dyDescent="0.35"/>
    <row r="16" spans="2:10" ht="15" customHeight="1" x14ac:dyDescent="0.35"/>
    <row r="17" spans="1:10" ht="30" customHeight="1" x14ac:dyDescent="0.35">
      <c r="B17" s="9"/>
      <c r="C17" s="9"/>
      <c r="D17" s="9"/>
      <c r="E17" s="9"/>
      <c r="F17" s="14"/>
      <c r="G17" s="14"/>
      <c r="I17" s="14"/>
      <c r="J17" s="14"/>
    </row>
    <row r="18" spans="1:10" s="15" customFormat="1" ht="30" customHeight="1" x14ac:dyDescent="0.35">
      <c r="B18" s="16" t="s">
        <v>9</v>
      </c>
      <c r="C18" s="17"/>
      <c r="D18" s="18" t="s">
        <v>10</v>
      </c>
      <c r="E18" s="18"/>
      <c r="F18" s="19"/>
      <c r="G18" s="20" t="s">
        <v>11</v>
      </c>
      <c r="H18" s="21" t="s">
        <v>12</v>
      </c>
      <c r="I18" s="22" t="s">
        <v>13</v>
      </c>
      <c r="J18" s="23" t="s">
        <v>14</v>
      </c>
    </row>
    <row r="19" spans="1:10" s="15" customFormat="1" ht="15" x14ac:dyDescent="0.35">
      <c r="B19" s="24">
        <v>45630</v>
      </c>
      <c r="C19" s="25"/>
      <c r="D19" s="26" t="s">
        <v>15</v>
      </c>
      <c r="E19" s="27"/>
      <c r="G19" s="28">
        <v>-148.76</v>
      </c>
      <c r="H19" s="29">
        <f t="shared" ref="H19:H45" si="0">IF(G19="","",IFERROR(SUM(H18)+SUM(G19), ""))</f>
        <v>-148.76</v>
      </c>
      <c r="I19" s="28">
        <v>148.76</v>
      </c>
      <c r="J19" s="30">
        <f>IF(G19="","",G19+I19)</f>
        <v>0</v>
      </c>
    </row>
    <row r="20" spans="1:10" s="15" customFormat="1" ht="15" x14ac:dyDescent="0.35">
      <c r="A20" s="31"/>
      <c r="B20" s="24">
        <v>45642</v>
      </c>
      <c r="C20" s="25"/>
      <c r="D20" s="27" t="s">
        <v>16</v>
      </c>
      <c r="E20" s="27"/>
      <c r="G20" s="28">
        <v>1785</v>
      </c>
      <c r="H20" s="32">
        <f t="shared" ref="H20:H21" si="1">IF(G20="","",IFERROR(SUM(H19)+SUM(G20), ""))</f>
        <v>1636.24</v>
      </c>
      <c r="I20" s="28">
        <f>-148.76*7</f>
        <v>-1041.32</v>
      </c>
      <c r="J20" s="30">
        <f t="shared" ref="J20:J45" si="2">IF(G20="","",G20+I20)</f>
        <v>743.68000000000006</v>
      </c>
    </row>
    <row r="21" spans="1:10" s="15" customFormat="1" ht="15" x14ac:dyDescent="0.35">
      <c r="A21" s="31"/>
      <c r="B21" s="24">
        <v>45658</v>
      </c>
      <c r="C21" s="25"/>
      <c r="D21" s="26" t="s">
        <v>15</v>
      </c>
      <c r="E21" s="27"/>
      <c r="F21" s="33"/>
      <c r="G21" s="28">
        <v>-148.76</v>
      </c>
      <c r="H21" s="32">
        <f t="shared" si="1"/>
        <v>1487.48</v>
      </c>
      <c r="I21" s="28">
        <v>148.76</v>
      </c>
      <c r="J21" s="30">
        <f t="shared" si="2"/>
        <v>0</v>
      </c>
    </row>
    <row r="22" spans="1:10" s="15" customFormat="1" ht="15" x14ac:dyDescent="0.35">
      <c r="A22" s="31"/>
      <c r="B22" s="24">
        <v>45689</v>
      </c>
      <c r="C22" s="25"/>
      <c r="D22" s="26" t="s">
        <v>15</v>
      </c>
      <c r="E22" s="27"/>
      <c r="G22" s="28">
        <v>-148.76</v>
      </c>
      <c r="H22" s="32">
        <f t="shared" si="0"/>
        <v>1338.72</v>
      </c>
      <c r="I22" s="28">
        <v>148.76</v>
      </c>
      <c r="J22" s="30">
        <f t="shared" si="2"/>
        <v>0</v>
      </c>
    </row>
    <row r="23" spans="1:10" s="15" customFormat="1" ht="15" x14ac:dyDescent="0.35">
      <c r="A23" s="31"/>
      <c r="B23" s="24">
        <v>45717</v>
      </c>
      <c r="C23" s="25"/>
      <c r="D23" s="26" t="s">
        <v>15</v>
      </c>
      <c r="E23" s="27"/>
      <c r="G23" s="28">
        <v>-148.76</v>
      </c>
      <c r="H23" s="32">
        <f t="shared" si="0"/>
        <v>1189.96</v>
      </c>
      <c r="I23" s="28">
        <v>148.76</v>
      </c>
      <c r="J23" s="30">
        <f t="shared" si="2"/>
        <v>0</v>
      </c>
    </row>
    <row r="24" spans="1:10" s="15" customFormat="1" ht="15" x14ac:dyDescent="0.35">
      <c r="A24" s="31"/>
      <c r="B24" s="24">
        <v>45748</v>
      </c>
      <c r="C24" s="25"/>
      <c r="D24" s="26" t="s">
        <v>15</v>
      </c>
      <c r="E24" s="27"/>
      <c r="G24" s="28">
        <v>-148.76</v>
      </c>
      <c r="H24" s="32">
        <f t="shared" si="0"/>
        <v>1041.2</v>
      </c>
      <c r="I24" s="28">
        <v>148.76</v>
      </c>
      <c r="J24" s="30">
        <f t="shared" si="2"/>
        <v>0</v>
      </c>
    </row>
    <row r="25" spans="1:10" s="15" customFormat="1" ht="15" x14ac:dyDescent="0.35">
      <c r="A25" s="31"/>
      <c r="B25" s="24">
        <v>45778</v>
      </c>
      <c r="C25" s="25"/>
      <c r="D25" s="26" t="s">
        <v>15</v>
      </c>
      <c r="E25" s="27"/>
      <c r="G25" s="28">
        <v>-148.76</v>
      </c>
      <c r="H25" s="32">
        <f t="shared" si="0"/>
        <v>892.44</v>
      </c>
      <c r="I25" s="28">
        <v>148.76</v>
      </c>
      <c r="J25" s="30">
        <f t="shared" si="2"/>
        <v>0</v>
      </c>
    </row>
    <row r="26" spans="1:10" s="15" customFormat="1" ht="15" x14ac:dyDescent="0.35">
      <c r="A26" s="31"/>
      <c r="B26" s="24">
        <v>45809</v>
      </c>
      <c r="C26" s="27"/>
      <c r="D26" s="26" t="s">
        <v>15</v>
      </c>
      <c r="E26" s="27"/>
      <c r="G26" s="28">
        <v>-148.76</v>
      </c>
      <c r="H26" s="32">
        <f t="shared" si="0"/>
        <v>743.68000000000006</v>
      </c>
      <c r="I26" s="28">
        <v>148.76</v>
      </c>
      <c r="J26" s="30">
        <f t="shared" si="2"/>
        <v>0</v>
      </c>
    </row>
    <row r="27" spans="1:10" s="15" customFormat="1" ht="15" x14ac:dyDescent="0.35">
      <c r="A27" s="31"/>
      <c r="B27" s="24"/>
      <c r="C27" s="27"/>
      <c r="D27" s="27"/>
      <c r="E27" s="27"/>
      <c r="G27" s="28"/>
      <c r="H27" s="32" t="str">
        <f t="shared" si="0"/>
        <v/>
      </c>
      <c r="I27" s="28"/>
      <c r="J27" s="30" t="str">
        <f t="shared" si="2"/>
        <v/>
      </c>
    </row>
    <row r="28" spans="1:10" s="15" customFormat="1" ht="15" x14ac:dyDescent="0.35">
      <c r="A28" s="31"/>
      <c r="B28" s="24"/>
      <c r="C28" s="27"/>
      <c r="D28" s="27"/>
      <c r="E28" s="27"/>
      <c r="G28" s="28"/>
      <c r="H28" s="32" t="str">
        <f t="shared" si="0"/>
        <v/>
      </c>
      <c r="I28" s="28"/>
      <c r="J28" s="30" t="str">
        <f t="shared" si="2"/>
        <v/>
      </c>
    </row>
    <row r="29" spans="1:10" s="15" customFormat="1" ht="15" x14ac:dyDescent="0.35">
      <c r="A29" s="31"/>
      <c r="B29" s="24"/>
      <c r="C29" s="27"/>
      <c r="D29" s="27"/>
      <c r="E29" s="27"/>
      <c r="G29" s="28"/>
      <c r="H29" s="32" t="str">
        <f t="shared" si="0"/>
        <v/>
      </c>
      <c r="I29" s="28"/>
      <c r="J29" s="30" t="str">
        <f t="shared" si="2"/>
        <v/>
      </c>
    </row>
    <row r="30" spans="1:10" s="15" customFormat="1" ht="15" x14ac:dyDescent="0.35">
      <c r="A30" s="34"/>
      <c r="B30" s="24"/>
      <c r="C30" s="27"/>
      <c r="D30" s="27"/>
      <c r="E30" s="27"/>
      <c r="G30" s="28"/>
      <c r="H30" s="32" t="str">
        <f t="shared" si="0"/>
        <v/>
      </c>
      <c r="I30" s="28"/>
      <c r="J30" s="30" t="str">
        <f t="shared" si="2"/>
        <v/>
      </c>
    </row>
    <row r="31" spans="1:10" s="15" customFormat="1" ht="15" x14ac:dyDescent="0.35">
      <c r="A31" s="34"/>
      <c r="B31" s="24"/>
      <c r="C31" s="27"/>
      <c r="D31" s="27"/>
      <c r="E31" s="27"/>
      <c r="G31" s="28"/>
      <c r="H31" s="32" t="str">
        <f t="shared" si="0"/>
        <v/>
      </c>
      <c r="I31" s="28"/>
      <c r="J31" s="30" t="str">
        <f t="shared" si="2"/>
        <v/>
      </c>
    </row>
    <row r="32" spans="1:10" s="15" customFormat="1" ht="15" x14ac:dyDescent="0.35">
      <c r="A32" s="34"/>
      <c r="B32" s="24"/>
      <c r="C32" s="27"/>
      <c r="D32" s="27"/>
      <c r="E32" s="27"/>
      <c r="G32" s="28"/>
      <c r="H32" s="32" t="str">
        <f t="shared" si="0"/>
        <v/>
      </c>
      <c r="I32" s="28"/>
      <c r="J32" s="30" t="str">
        <f t="shared" si="2"/>
        <v/>
      </c>
    </row>
    <row r="33" spans="1:10" s="15" customFormat="1" ht="15" x14ac:dyDescent="0.35">
      <c r="A33" s="34"/>
      <c r="B33" s="24"/>
      <c r="C33" s="25"/>
      <c r="D33" s="27"/>
      <c r="E33" s="27"/>
      <c r="G33" s="28"/>
      <c r="H33" s="32" t="str">
        <f t="shared" si="0"/>
        <v/>
      </c>
      <c r="I33" s="28"/>
      <c r="J33" s="30" t="str">
        <f t="shared" si="2"/>
        <v/>
      </c>
    </row>
    <row r="34" spans="1:10" s="15" customFormat="1" ht="15" x14ac:dyDescent="0.35">
      <c r="A34" s="34"/>
      <c r="B34" s="24"/>
      <c r="C34" s="25"/>
      <c r="D34" s="27"/>
      <c r="E34" s="27"/>
      <c r="G34" s="28"/>
      <c r="H34" s="32" t="str">
        <f t="shared" si="0"/>
        <v/>
      </c>
      <c r="I34" s="28"/>
      <c r="J34" s="30" t="str">
        <f t="shared" si="2"/>
        <v/>
      </c>
    </row>
    <row r="35" spans="1:10" s="15" customFormat="1" ht="15" x14ac:dyDescent="0.35">
      <c r="A35" s="34"/>
      <c r="B35" s="24"/>
      <c r="C35" s="27"/>
      <c r="D35" s="27"/>
      <c r="E35" s="27"/>
      <c r="G35" s="28"/>
      <c r="H35" s="32" t="str">
        <f t="shared" si="0"/>
        <v/>
      </c>
      <c r="I35" s="28"/>
      <c r="J35" s="30" t="str">
        <f t="shared" si="2"/>
        <v/>
      </c>
    </row>
    <row r="36" spans="1:10" s="15" customFormat="1" ht="15" x14ac:dyDescent="0.35">
      <c r="A36" s="34"/>
      <c r="B36" s="24"/>
      <c r="C36" s="27"/>
      <c r="D36" s="27"/>
      <c r="E36" s="27"/>
      <c r="G36" s="28"/>
      <c r="H36" s="32" t="str">
        <f t="shared" si="0"/>
        <v/>
      </c>
      <c r="I36" s="28"/>
      <c r="J36" s="30" t="str">
        <f t="shared" si="2"/>
        <v/>
      </c>
    </row>
    <row r="37" spans="1:10" s="15" customFormat="1" ht="15" x14ac:dyDescent="0.35">
      <c r="A37" s="34"/>
      <c r="B37" s="24"/>
      <c r="C37" s="27"/>
      <c r="D37" s="27"/>
      <c r="E37" s="27"/>
      <c r="G37" s="28"/>
      <c r="H37" s="32" t="str">
        <f t="shared" si="0"/>
        <v/>
      </c>
      <c r="I37" s="28"/>
      <c r="J37" s="30" t="str">
        <f t="shared" si="2"/>
        <v/>
      </c>
    </row>
    <row r="38" spans="1:10" s="15" customFormat="1" ht="15" x14ac:dyDescent="0.35">
      <c r="A38" s="34"/>
      <c r="B38" s="24"/>
      <c r="C38" s="27"/>
      <c r="D38" s="27"/>
      <c r="E38" s="27"/>
      <c r="G38" s="28"/>
      <c r="H38" s="32" t="str">
        <f t="shared" si="0"/>
        <v/>
      </c>
      <c r="I38" s="28"/>
      <c r="J38" s="30" t="str">
        <f t="shared" si="2"/>
        <v/>
      </c>
    </row>
    <row r="39" spans="1:10" s="15" customFormat="1" ht="15" x14ac:dyDescent="0.35">
      <c r="A39" s="31"/>
      <c r="B39" s="24"/>
      <c r="C39" s="27"/>
      <c r="D39" s="27"/>
      <c r="E39" s="27"/>
      <c r="G39" s="28"/>
      <c r="H39" s="32" t="str">
        <f t="shared" si="0"/>
        <v/>
      </c>
      <c r="I39" s="28"/>
      <c r="J39" s="30" t="str">
        <f t="shared" si="2"/>
        <v/>
      </c>
    </row>
    <row r="40" spans="1:10" s="15" customFormat="1" ht="15" x14ac:dyDescent="0.35">
      <c r="A40" s="31"/>
      <c r="B40" s="24"/>
      <c r="C40" s="27"/>
      <c r="D40" s="27"/>
      <c r="E40" s="27"/>
      <c r="G40" s="28"/>
      <c r="H40" s="32" t="str">
        <f t="shared" si="0"/>
        <v/>
      </c>
      <c r="I40" s="28"/>
      <c r="J40" s="30" t="str">
        <f t="shared" si="2"/>
        <v/>
      </c>
    </row>
    <row r="41" spans="1:10" s="15" customFormat="1" ht="15" x14ac:dyDescent="0.35">
      <c r="A41" s="31"/>
      <c r="B41" s="24"/>
      <c r="C41" s="27"/>
      <c r="D41" s="27"/>
      <c r="E41" s="27"/>
      <c r="G41" s="28"/>
      <c r="H41" s="32" t="str">
        <f t="shared" si="0"/>
        <v/>
      </c>
      <c r="I41" s="28"/>
      <c r="J41" s="30" t="str">
        <f t="shared" si="2"/>
        <v/>
      </c>
    </row>
    <row r="42" spans="1:10" s="15" customFormat="1" ht="15" x14ac:dyDescent="0.35">
      <c r="A42" s="31"/>
      <c r="B42" s="24"/>
      <c r="C42" s="27"/>
      <c r="D42" s="27"/>
      <c r="E42" s="27"/>
      <c r="G42" s="28"/>
      <c r="H42" s="32" t="str">
        <f t="shared" si="0"/>
        <v/>
      </c>
      <c r="I42" s="28"/>
      <c r="J42" s="30" t="str">
        <f t="shared" si="2"/>
        <v/>
      </c>
    </row>
    <row r="43" spans="1:10" s="15" customFormat="1" ht="15" x14ac:dyDescent="0.35">
      <c r="A43" s="31"/>
      <c r="B43" s="24"/>
      <c r="C43" s="27"/>
      <c r="D43" s="27"/>
      <c r="E43" s="27"/>
      <c r="G43" s="28"/>
      <c r="H43" s="32" t="str">
        <f t="shared" si="0"/>
        <v/>
      </c>
      <c r="I43" s="28"/>
      <c r="J43" s="30" t="str">
        <f t="shared" si="2"/>
        <v/>
      </c>
    </row>
    <row r="44" spans="1:10" s="15" customFormat="1" ht="15" x14ac:dyDescent="0.35">
      <c r="A44" s="31"/>
      <c r="B44" s="24"/>
      <c r="C44" s="27"/>
      <c r="D44" s="27"/>
      <c r="E44" s="27"/>
      <c r="G44" s="28"/>
      <c r="H44" s="32" t="str">
        <f t="shared" si="0"/>
        <v/>
      </c>
      <c r="I44" s="28"/>
      <c r="J44" s="30" t="str">
        <f t="shared" si="2"/>
        <v/>
      </c>
    </row>
    <row r="45" spans="1:10" s="15" customFormat="1" ht="15" x14ac:dyDescent="0.35">
      <c r="A45" s="31"/>
      <c r="B45" s="24"/>
      <c r="C45" s="27"/>
      <c r="D45" s="27"/>
      <c r="E45" s="27"/>
      <c r="G45" s="28"/>
      <c r="H45" s="32" t="str">
        <f t="shared" si="0"/>
        <v/>
      </c>
      <c r="I45" s="28"/>
      <c r="J45" s="30" t="str">
        <f t="shared" si="2"/>
        <v/>
      </c>
    </row>
    <row r="46" spans="1:10" s="15" customFormat="1" ht="15" x14ac:dyDescent="0.35">
      <c r="B46" s="35"/>
      <c r="C46" s="27"/>
      <c r="D46" s="27"/>
      <c r="E46" s="27"/>
      <c r="G46" s="28"/>
      <c r="H46" s="32" t="str">
        <f>IF(G46="","",IFERROR(SUM(#REF!)+SUM(G46), ""))</f>
        <v/>
      </c>
      <c r="I46" s="28"/>
      <c r="J46" s="30"/>
    </row>
    <row r="47" spans="1:10" s="15" customFormat="1" ht="15" x14ac:dyDescent="0.35">
      <c r="B47" s="24"/>
      <c r="C47" s="27"/>
      <c r="D47" s="27"/>
      <c r="E47" s="27"/>
      <c r="G47" s="28"/>
      <c r="H47" s="32"/>
      <c r="I47" s="28"/>
      <c r="J47" s="30"/>
    </row>
    <row r="48" spans="1:10" s="15" customFormat="1" ht="15" x14ac:dyDescent="0.35">
      <c r="B48" s="35"/>
      <c r="C48" s="27"/>
      <c r="D48" s="27"/>
      <c r="E48" s="27"/>
      <c r="G48" s="28"/>
      <c r="H48" s="32" t="str">
        <f>IF(G48="","",IFERROR(SUM(#REF!)+SUM(G48), ""))</f>
        <v/>
      </c>
      <c r="I48" s="28"/>
      <c r="J48" s="30"/>
    </row>
    <row r="49" spans="2:10" s="15" customFormat="1" ht="15" x14ac:dyDescent="0.35">
      <c r="B49" s="36"/>
      <c r="C49" s="37"/>
      <c r="D49" s="38"/>
      <c r="E49" s="38"/>
      <c r="G49" s="39"/>
      <c r="H49" s="32" t="str">
        <f>IF(G49="","",IFERROR(SUM(H48)+SUM(G49), ""))</f>
        <v/>
      </c>
      <c r="I49" s="40"/>
      <c r="J49" s="41"/>
    </row>
    <row r="50" spans="2:10" s="15" customFormat="1" ht="24" customHeight="1" x14ac:dyDescent="0.35">
      <c r="B50" s="27"/>
      <c r="C50" s="27"/>
      <c r="D50" s="42"/>
      <c r="E50" s="42"/>
      <c r="F50" s="42"/>
      <c r="G50" s="43" t="s">
        <v>17</v>
      </c>
      <c r="H50" s="44">
        <f>SUM(G18:G50)</f>
        <v>743.68000000000006</v>
      </c>
      <c r="I50" s="43"/>
      <c r="J50" s="43"/>
    </row>
    <row r="51" spans="2:10" s="15" customFormat="1" ht="30" customHeight="1" outlineLevel="1" x14ac:dyDescent="0.35">
      <c r="G51" s="45"/>
      <c r="H51" s="46"/>
      <c r="I51" s="45"/>
      <c r="J51" s="45"/>
    </row>
    <row r="52" spans="2:10" s="15" customFormat="1" ht="30" customHeight="1" outlineLevel="1" x14ac:dyDescent="0.35">
      <c r="G52" s="45" t="s">
        <v>18</v>
      </c>
      <c r="H52" s="47">
        <f>SUMIFS($G$18:$G$50,$G$18:$G$50,"&gt;0")</f>
        <v>1785</v>
      </c>
      <c r="I52" s="45"/>
      <c r="J52" s="45"/>
    </row>
    <row r="53" spans="2:10" s="15" customFormat="1" ht="30" customHeight="1" outlineLevel="1" x14ac:dyDescent="0.35">
      <c r="G53" s="45" t="s">
        <v>15</v>
      </c>
      <c r="H53" s="47">
        <f>SUMIFS($G$18:$G$50,$G$18:$G$50,"&lt;0")</f>
        <v>-1041.32</v>
      </c>
      <c r="I53" s="45"/>
      <c r="J53" s="45"/>
    </row>
    <row r="54" spans="2:10" s="15" customFormat="1" ht="30" customHeight="1" outlineLevel="1" x14ac:dyDescent="0.35">
      <c r="G54" s="43" t="s">
        <v>17</v>
      </c>
      <c r="H54" s="48">
        <f>SUM(H52:H53)</f>
        <v>743.68000000000006</v>
      </c>
      <c r="I54" s="43"/>
      <c r="J54" s="43"/>
    </row>
    <row r="57" spans="2:10" ht="14.15" x14ac:dyDescent="0.35"/>
    <row r="58" spans="2:10" ht="14.15" x14ac:dyDescent="0.35">
      <c r="F58" s="49"/>
      <c r="G58" s="49"/>
      <c r="H58" s="49"/>
      <c r="I58" s="49"/>
      <c r="J58" s="49"/>
    </row>
    <row r="59" spans="2:10" ht="14.15" x14ac:dyDescent="0.35">
      <c r="B59" s="5"/>
      <c r="C59" s="5"/>
      <c r="E59" s="5" t="str">
        <f>"Make all cheques payable to "&amp;Company_Name&amp;"."</f>
        <v>Make all cheques payable to Kaizen Finance Solution Ltd.</v>
      </c>
      <c r="F59" s="49"/>
      <c r="G59" s="49"/>
      <c r="H59" s="49"/>
      <c r="I59" s="49"/>
      <c r="J59" s="49"/>
    </row>
    <row r="60" spans="2:10" ht="14.15" x14ac:dyDescent="0.35">
      <c r="B60" s="5"/>
      <c r="C60" s="5"/>
      <c r="E60" s="5" t="s">
        <v>19</v>
      </c>
      <c r="F60" s="49"/>
      <c r="G60" s="49"/>
      <c r="H60" s="49"/>
      <c r="I60" s="49"/>
      <c r="J60" s="49"/>
    </row>
    <row r="61" spans="2:10" ht="14.15" x14ac:dyDescent="0.35">
      <c r="E61" s="1" t="s">
        <v>20</v>
      </c>
      <c r="F61" s="49"/>
      <c r="G61" s="49"/>
      <c r="H61" s="49"/>
      <c r="I61" s="49"/>
      <c r="J61" s="49"/>
    </row>
    <row r="62" spans="2:10" ht="14.15" x14ac:dyDescent="0.35">
      <c r="B62" s="5"/>
      <c r="C62" s="5"/>
      <c r="E62" s="5" t="s">
        <v>21</v>
      </c>
    </row>
    <row r="63" spans="2:10" ht="21.45" customHeight="1" x14ac:dyDescent="0.35">
      <c r="B63" s="5"/>
      <c r="C63" s="5"/>
      <c r="E63" s="5" t="s">
        <v>22</v>
      </c>
    </row>
    <row r="64" spans="2:10" ht="30" customHeight="1" x14ac:dyDescent="0.35">
      <c r="B64" s="50"/>
      <c r="C64" s="50"/>
      <c r="E64" s="50" t="s">
        <v>23</v>
      </c>
    </row>
  </sheetData>
  <autoFilter ref="A18:K64" xr:uid="{19AF283F-BFD7-46FF-9501-1E5E26D6FEEE}"/>
  <dataValidations count="31">
    <dataValidation allowBlank="1" showInputMessage="1" showErrorMessage="1" prompt="Title of this worksheet is in this cell. Enter Invoice details in cells D3 through E5" sqref="H1" xr:uid="{CFB01D35-2F4A-4340-B063-FF0FC819386A}"/>
    <dataValidation allowBlank="1" showInputMessage="1" showErrorMessage="1" prompt="Enter Invoice Number in cell at right" sqref="H8" xr:uid="{96B803F2-548D-417F-9A37-4DB5D87AE84D}"/>
    <dataValidation allowBlank="1" showInputMessage="1" showErrorMessage="1" prompt="Enter invoice Date in cell at right" sqref="G3:G5 H7 I3:I5" xr:uid="{1F5EE07E-A314-4543-9B74-2FECB7CFCBA3}"/>
    <dataValidation allowBlank="1" showInputMessage="1" showErrorMessage="1" prompt="Total due is automatically calculated in this cell" sqref="H54:J54" xr:uid="{4228243D-FB1C-4433-951A-BDBED572F5E2}"/>
    <dataValidation allowBlank="1" showInputMessage="1" showErrorMessage="1" prompt="Enter Other amount in this cell" sqref="H53:J53" xr:uid="{C9CE0EB1-CB2B-4CBF-AB81-5BDD5530BDFF}"/>
    <dataValidation allowBlank="1" showInputMessage="1" showErrorMessage="1" prompt="Sales Tax amount is automatically calculated in this cell" sqref="H52:J52" xr:uid="{398315C9-3CFC-4E61-8FDD-E7CCE84526A1}"/>
    <dataValidation allowBlank="1" showInputMessage="1" showErrorMessage="1" prompt="Enter Tax Rate in this cell" sqref="H51:J51" xr:uid="{CF73CF51-9F62-4491-BA1D-1A209B41B130}"/>
    <dataValidation allowBlank="1" showInputMessage="1" showErrorMessage="1" prompt="Enter customer Name, Company Name, Street Address, City, State, Zip Code, and Phone number in cells below" sqref="B9:E9" xr:uid="{CDAA349D-5149-447A-BBF9-DF273821592B}"/>
    <dataValidation allowBlank="1" showInputMessage="1" showErrorMessage="1" prompt="Enter customer Name in this cell" sqref="B10:E10" xr:uid="{35ACAC35-4059-4D0D-A3E2-2026A934A825}"/>
    <dataValidation allowBlank="1" showInputMessage="1" showErrorMessage="1" prompt="Enter customer Company Name in this cell" sqref="B11:E11" xr:uid="{4D59426D-462B-4725-9BC6-E7B12338B4AC}"/>
    <dataValidation allowBlank="1" showInputMessage="1" showErrorMessage="1" prompt="Enter customer Street Address in this cell" sqref="B12:E12" xr:uid="{12C50860-38D8-415D-BAB7-CB3996A81C0D}"/>
    <dataValidation allowBlank="1" showInputMessage="1" showErrorMessage="1" prompt="Enter customer City, State, and Zip Code in this cell" sqref="B13:E16" xr:uid="{62D46FE5-4FD4-48BD-864C-8921B7128B5E}"/>
    <dataValidation allowBlank="1" showInputMessage="1" showErrorMessage="1" prompt="Enter customer Phone number in this cell" sqref="B17:E17" xr:uid="{7624BC8D-FB16-4FA4-B6DC-C1FD818568A8}"/>
    <dataValidation allowBlank="1" showInputMessage="1" showErrorMessage="1" prompt="Enter invoice Project or Service description in this cell" sqref="H9:J9" xr:uid="{BE751661-C0BC-4AB0-8481-7A014CFDA9E5}"/>
    <dataValidation allowBlank="1" showInputMessage="1" showErrorMessage="1" prompt="Enter Descriptions in this column under this heading. Use heading filters to find specific entries" sqref="B18:E18" xr:uid="{E6A3B8C1-6743-4088-99F2-04852A451CB4}"/>
    <dataValidation allowBlank="1" showInputMessage="1" showErrorMessage="1" prompt="Enter Phone and Fax number in this cell" sqref="B8:E8" xr:uid="{061CD223-215F-4F7B-B361-39F1EF6A1C5F}"/>
    <dataValidation allowBlank="1" showInputMessage="1" showErrorMessage="1" prompt="Enter City, State, and Zip Code in this cell" sqref="B7:E7" xr:uid="{5A52B7A1-5A47-4C2C-B8AB-462EA4CE0B23}"/>
    <dataValidation allowBlank="1" showInputMessage="1" showErrorMessage="1" prompt="Enter invoicing company Street Address in this cell" sqref="B3:E6" xr:uid="{CD782326-EFC1-494E-B3DD-F7E112D510A8}"/>
    <dataValidation allowBlank="1" showInputMessage="1" showErrorMessage="1" prompt="Enter Company Slogan in this cell and company address in cells below" sqref="B2:E2" xr:uid="{19641835-8A8F-4063-857F-A9FAFE64283A}"/>
    <dataValidation allowBlank="1" showInputMessage="1" showErrorMessage="1" prompt="Enter invoicing Company Name in this cell and Slogan in cell below" sqref="E2 B2:C2" xr:uid="{6FF7EC08-9059-4C36-93E2-6A9125DAF0A8}"/>
    <dataValidation allowBlank="1" showInputMessage="1" showErrorMessage="1" prompt="Create a Service Invoice with tax calculation in this worksheet. Enter company and customer details, and service details in Invoice table. Total due is automatically calculated" sqref="A1" xr:uid="{BF01D990-B275-4AB9-983B-49E7DD9C54D4}"/>
    <dataValidation allowBlank="1" showInputMessage="1" showErrorMessage="1" prompt="Company name is automatically appended in this cell" sqref="E62 E59:E60 B62:C62 B59:C60 B55:C56 E55:J56" xr:uid="{AB4622DB-5288-4FA4-8185-D4A2A6C1A78E}"/>
    <dataValidation allowBlank="1" showInputMessage="1" showErrorMessage="1" prompt="Replace the number of days in which the balance is due and service charge percent per month in this cell" sqref="E59:E60 E62:E63 B59:C60 B62:C63 F57:J57" xr:uid="{647D3A58-2579-44B6-BDDF-8950950CAA95}"/>
    <dataValidation allowBlank="1" showInputMessage="1" showErrorMessage="1" prompt="Total due is automatically calculated in cell at right" sqref="G54 I50:J50 G50 I54:J54" xr:uid="{E0A28666-B001-41F0-B4B3-85A1237E6280}"/>
    <dataValidation allowBlank="1" showInputMessage="1" showErrorMessage="1" prompt="Enter Other amount in cell at right" sqref="G53 I53:J53" xr:uid="{51B38E76-D83F-4B0D-B88D-BC7C11BC3CB6}"/>
    <dataValidation allowBlank="1" showInputMessage="1" showErrorMessage="1" prompt="Sales Tax amount is automatically calculated in cell at right" sqref="G52 I52:J52" xr:uid="{F20BE88A-AE40-496A-9507-78C89C362AC4}"/>
    <dataValidation allowBlank="1" showInputMessage="1" showErrorMessage="1" prompt="Enter Tax Rate in cell at right" sqref="G51 I51:J51" xr:uid="{124CFF0F-86CA-4A62-B3F6-752DA3EB4B63}"/>
    <dataValidation allowBlank="1" showInputMessage="1" showErrorMessage="1" prompt="Enter invoice Project or Service description in cell at right" sqref="G9 I9:J9" xr:uid="{6C41E8EB-04C0-4BF2-A487-230DB035E43F}"/>
    <dataValidation allowBlank="1" showInputMessage="1" showErrorMessage="1" prompt="Amount is automatically calculated in this column under this heading" sqref="F18:J18" xr:uid="{20EDA0BA-B62E-4B8D-871B-6AE2F49EFBA5}"/>
    <dataValidation allowBlank="1" showInputMessage="1" showErrorMessage="1" prompt="Enter invoice Date in this cell" sqref="H3:I5 H7:I7" xr:uid="{9476ED04-9D32-43FB-870A-5D57F270D637}"/>
    <dataValidation allowBlank="1" showInputMessage="1" showErrorMessage="1" prompt="Enter Invoice Number in this cell" sqref="H8:I8" xr:uid="{FE8E72B2-A3D7-4ABE-AB0E-91EF32845AFB}"/>
  </dataValidations>
  <printOptions horizontalCentered="1"/>
  <pageMargins left="0.39370078740157483" right="0.39370078740157483" top="0.39370078740157483" bottom="0.39370078740157483" header="0.31496062992125984" footer="0.31496062992125984"/>
  <pageSetup paperSize="9" scale="64" fitToHeight="10" orientation="portrait" r:id="rId1"/>
  <headerFooter differentFirst="1"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Invoice</vt:lpstr>
      <vt:lpstr>Statement</vt:lpstr>
      <vt:lpstr>Invoice!ColumnTitle1</vt:lpstr>
      <vt:lpstr>Statement!ColumnTitle1</vt:lpstr>
      <vt:lpstr>Invoice!ColumnTitleRegion1..B11.1</vt:lpstr>
      <vt:lpstr>Statement!ColumnTitleRegion1..B11.1</vt:lpstr>
      <vt:lpstr>Invoice!Company_Name</vt:lpstr>
      <vt:lpstr>Statement!Company_Name</vt:lpstr>
      <vt:lpstr>Invoice!Print_Titles</vt:lpstr>
      <vt:lpstr>Statement!Print_Titles</vt:lpstr>
      <vt:lpstr>Invoice!RowTitleRegion1..E5</vt:lpstr>
      <vt:lpstr>Statement!RowTitleRegion1..E5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Mao</dc:creator>
  <cp:lastModifiedBy>Z Mao</cp:lastModifiedBy>
  <dcterms:created xsi:type="dcterms:W3CDTF">2025-12-19T13:58:27Z</dcterms:created>
  <dcterms:modified xsi:type="dcterms:W3CDTF">2025-12-19T14:03:17Z</dcterms:modified>
</cp:coreProperties>
</file>